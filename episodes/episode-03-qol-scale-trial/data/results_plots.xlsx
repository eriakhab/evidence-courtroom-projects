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ak\Downloads\"/>
    </mc:Choice>
  </mc:AlternateContent>
  <xr:revisionPtr revIDLastSave="0" documentId="13_ncr:1_{50CA586E-F9AE-4B44-800F-C26BEBDEBAC5}" xr6:coauthVersionLast="47" xr6:coauthVersionMax="47" xr10:uidLastSave="{00000000-0000-0000-0000-000000000000}"/>
  <bookViews>
    <workbookView xWindow="-24120" yWindow="-120" windowWidth="24240" windowHeight="13740" firstSheet="13" activeTab="15" xr2:uid="{D505D068-C396-4CAD-BC60-314B466C5C31}"/>
  </bookViews>
  <sheets>
    <sheet name="Minichal Items" sheetId="2" r:id="rId1"/>
    <sheet name="Items Descriptives" sheetId="3" r:id="rId2"/>
    <sheet name="Correlation matrices" sheetId="4" r:id="rId3"/>
    <sheet name="CFA_IFA(WLSMV)_Fit_Indices" sheetId="5" r:id="rId4"/>
    <sheet name="Mod_CFA Param_est" sheetId="6" r:id="rId5"/>
    <sheet name="Mod_IFA_IRT(FIML)_Param_est" sheetId="7" r:id="rId6"/>
    <sheet name="Race_Measurement_Invariance" sheetId="13" r:id="rId7"/>
    <sheet name="Sex_Measurement_Invariance" sheetId="14" r:id="rId8"/>
    <sheet name="Discrim and Diff plots" sheetId="15" r:id="rId9"/>
    <sheet name="Test_Information" sheetId="16" r:id="rId10"/>
    <sheet name="Combined_Item_Information" sheetId="17" r:id="rId11"/>
    <sheet name="Individual_Item_Information" sheetId="8" r:id="rId12"/>
    <sheet name="Category_information" sheetId="9" r:id="rId13"/>
    <sheet name="Reliability plots" sheetId="10" r:id="rId14"/>
    <sheet name="CFA_Factor scores_distribution" sheetId="11" r:id="rId15"/>
    <sheet name="IFA_Factor scores_distribution" sheetId="12" r:id="rId16"/>
  </sheets>
  <externalReferences>
    <externalReference r:id="rId1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15" l="1"/>
  <c r="L19" i="15"/>
  <c r="K19" i="15"/>
  <c r="J19" i="15"/>
  <c r="I19" i="15"/>
  <c r="M18" i="15"/>
  <c r="L18" i="15"/>
  <c r="K18" i="15"/>
  <c r="J18" i="15"/>
  <c r="I18" i="15"/>
  <c r="M17" i="15"/>
  <c r="L17" i="15"/>
  <c r="K17" i="15"/>
  <c r="J17" i="15"/>
  <c r="I17" i="15"/>
  <c r="M16" i="15"/>
  <c r="L16" i="15"/>
  <c r="K16" i="15"/>
  <c r="J16" i="15"/>
  <c r="I16" i="15"/>
  <c r="M15" i="15"/>
  <c r="L15" i="15"/>
  <c r="K15" i="15"/>
  <c r="J15" i="15"/>
  <c r="I15" i="15"/>
  <c r="M14" i="15"/>
  <c r="L14" i="15"/>
  <c r="K14" i="15"/>
  <c r="J14" i="15"/>
  <c r="I14" i="15"/>
  <c r="M13" i="15"/>
  <c r="L13" i="15"/>
  <c r="K13" i="15"/>
  <c r="J13" i="15"/>
  <c r="I13" i="15"/>
  <c r="M12" i="15"/>
  <c r="L12" i="15"/>
  <c r="K12" i="15"/>
  <c r="J12" i="15"/>
  <c r="I12" i="15"/>
  <c r="M11" i="15"/>
  <c r="L11" i="15"/>
  <c r="K11" i="15"/>
  <c r="J11" i="15"/>
  <c r="I11" i="15"/>
  <c r="M10" i="15"/>
  <c r="L10" i="15"/>
  <c r="K10" i="15"/>
  <c r="J10" i="15"/>
  <c r="I10" i="15"/>
  <c r="M9" i="15"/>
  <c r="L9" i="15"/>
  <c r="K9" i="15"/>
  <c r="J9" i="15"/>
  <c r="I9" i="15"/>
  <c r="M8" i="15"/>
  <c r="L8" i="15"/>
  <c r="K8" i="15"/>
  <c r="J8" i="15"/>
  <c r="I8" i="15"/>
  <c r="M7" i="15"/>
  <c r="L7" i="15"/>
  <c r="K7" i="15"/>
  <c r="J7" i="15"/>
  <c r="I7" i="15"/>
  <c r="M6" i="15"/>
  <c r="L6" i="15"/>
  <c r="K6" i="15"/>
  <c r="J6" i="15"/>
  <c r="I6" i="15"/>
  <c r="M5" i="15"/>
  <c r="L5" i="15"/>
  <c r="K5" i="15"/>
  <c r="J5" i="15"/>
  <c r="I5" i="15"/>
  <c r="M4" i="15"/>
  <c r="L4" i="15"/>
  <c r="K4" i="15"/>
  <c r="J4" i="15"/>
  <c r="I4" i="15"/>
  <c r="M3" i="15"/>
  <c r="L3" i="15"/>
  <c r="K3" i="15"/>
  <c r="J3" i="15"/>
  <c r="I3" i="15"/>
  <c r="M2" i="15"/>
  <c r="L2" i="15"/>
  <c r="K2" i="15"/>
  <c r="J2" i="15"/>
  <c r="I2" i="15"/>
  <c r="K19" i="14"/>
  <c r="J19" i="14"/>
  <c r="I19" i="14"/>
  <c r="H19" i="14"/>
  <c r="K18" i="14"/>
  <c r="J18" i="14"/>
  <c r="I18" i="14"/>
  <c r="H18" i="14"/>
  <c r="K17" i="14"/>
  <c r="J17" i="14"/>
  <c r="I17" i="14"/>
  <c r="H17" i="14"/>
  <c r="K16" i="14"/>
  <c r="J16" i="14"/>
  <c r="I16" i="14"/>
  <c r="H16" i="14"/>
  <c r="K15" i="14"/>
  <c r="J15" i="14"/>
  <c r="I15" i="14"/>
  <c r="H15" i="14"/>
  <c r="K19" i="13"/>
  <c r="J19" i="13"/>
  <c r="I19" i="13"/>
  <c r="H19" i="13"/>
  <c r="K18" i="13"/>
  <c r="J18" i="13"/>
  <c r="I18" i="13"/>
  <c r="H18" i="13"/>
  <c r="K17" i="13"/>
  <c r="J17" i="13"/>
  <c r="I17" i="13"/>
  <c r="H17" i="13"/>
  <c r="K16" i="13"/>
  <c r="J16" i="13"/>
  <c r="I16" i="13"/>
  <c r="H16" i="13"/>
  <c r="K15" i="13"/>
  <c r="J15" i="13"/>
  <c r="I15" i="13"/>
  <c r="H15" i="13"/>
</calcChain>
</file>

<file path=xl/sharedStrings.xml><?xml version="1.0" encoding="utf-8"?>
<sst xmlns="http://schemas.openxmlformats.org/spreadsheetml/2006/main" count="509" uniqueCount="219">
  <si>
    <t>TABLE 1: MINICHAL ITEMS</t>
  </si>
  <si>
    <t>In the last 7 days …</t>
  </si>
  <si>
    <t>RESPONSE CATEGORIES</t>
  </si>
  <si>
    <t>ITEMS</t>
  </si>
  <si>
    <t>0 = No, not at all; 1 = Yes, a little; 2 = Yes, a moderate amount; 3 = Yes, a lot</t>
  </si>
  <si>
    <t>1 (Q54)</t>
  </si>
  <si>
    <t>Have you had difficulties falling asleep?</t>
  </si>
  <si>
    <t>2 (Q55)</t>
  </si>
  <si>
    <t>Have you had difficulties in your social relationships?</t>
  </si>
  <si>
    <t>3 (Q56)</t>
  </si>
  <si>
    <t>Have you had difficulties communicating with other people?</t>
  </si>
  <si>
    <t>4 (Q57)</t>
  </si>
  <si>
    <t>Have you felt that you are not playing a useful role in life?</t>
  </si>
  <si>
    <t>5 (Q58)</t>
  </si>
  <si>
    <t>Have you felt unable to make decisions and start new things?</t>
  </si>
  <si>
    <t>6 (Q59)</t>
  </si>
  <si>
    <t>Have you felt constantly overwhelmed or stressed?</t>
  </si>
  <si>
    <t>7 (Q60)</t>
  </si>
  <si>
    <t>Have you felt that your life is a constant struggle?</t>
  </si>
  <si>
    <t>8 (Q61)</t>
  </si>
  <si>
    <t>Have you felt unable to enjoy your usual activities?</t>
  </si>
  <si>
    <t>9 (Q62)</t>
  </si>
  <si>
    <t>Have you felt exhausted or weak?</t>
  </si>
  <si>
    <t>10 (Q63)</t>
  </si>
  <si>
    <t>Have you felt ill?</t>
  </si>
  <si>
    <t>11 (Q64)</t>
  </si>
  <si>
    <t>Have you experienced any breathing difficulties or shortness of breath for no reason?</t>
  </si>
  <si>
    <t>12 (Q65)</t>
  </si>
  <si>
    <t>Have your ankles become swollen?</t>
  </si>
  <si>
    <t>13 (Q66)</t>
  </si>
  <si>
    <t>Have you passed water more often?</t>
  </si>
  <si>
    <t>14 (Q67)</t>
  </si>
  <si>
    <t>Have you had a dry mouth?</t>
  </si>
  <si>
    <t>15 (Q68)</t>
  </si>
  <si>
    <t>Have you experienced any pain in your chest without physical exertion?</t>
  </si>
  <si>
    <t>16 (Q69)</t>
  </si>
  <si>
    <t>Have you experienced pins and needles or any numbness in any part of your body?</t>
  </si>
  <si>
    <t>TABLE 2 - DESCRIPTIVE STATISTICS FOR MINICHAL ITEM RESPONSES</t>
  </si>
  <si>
    <t>Proportions for each category of each item</t>
  </si>
  <si>
    <t>Item</t>
  </si>
  <si>
    <t>Label</t>
  </si>
  <si>
    <t>N</t>
  </si>
  <si>
    <t>Mean</t>
  </si>
  <si>
    <t>SD</t>
  </si>
  <si>
    <t>Median</t>
  </si>
  <si>
    <t>0=Not at all</t>
  </si>
  <si>
    <t>1=A little</t>
  </si>
  <si>
    <t>2=A moderate amount</t>
  </si>
  <si>
    <t>3=A lot</t>
  </si>
  <si>
    <t>Falling asleep</t>
  </si>
  <si>
    <t>Social relationships</t>
  </si>
  <si>
    <t>Communicating with others</t>
  </si>
  <si>
    <t>Useful role in life</t>
  </si>
  <si>
    <t>Make decisions/Start new things</t>
  </si>
  <si>
    <t>Overwhelmed/Stressed</t>
  </si>
  <si>
    <t>Life is a struggle</t>
  </si>
  <si>
    <t>Enjoy usual activities</t>
  </si>
  <si>
    <t>Exhausted/Weak</t>
  </si>
  <si>
    <t>Ill</t>
  </si>
  <si>
    <t>Breathing difficulty/shortness of breath</t>
  </si>
  <si>
    <t>Swollen ankles</t>
  </si>
  <si>
    <t>Passed water</t>
  </si>
  <si>
    <t>Dry mouth</t>
  </si>
  <si>
    <t>Chest pain</t>
  </si>
  <si>
    <t>Numbness/Pins and Needles</t>
  </si>
  <si>
    <t>Polychoric Correlation Estimates</t>
  </si>
  <si>
    <t>Pearson Correlation Estimates</t>
  </si>
  <si>
    <t>1(Q54)</t>
  </si>
  <si>
    <t>2(Q55)</t>
  </si>
  <si>
    <t>3(Q56)</t>
  </si>
  <si>
    <t>4(Q57)</t>
  </si>
  <si>
    <t>5(Q58)</t>
  </si>
  <si>
    <t>6(Q59)</t>
  </si>
  <si>
    <t>7(Q60)</t>
  </si>
  <si>
    <t>8(Q61)</t>
  </si>
  <si>
    <t>9(Q62)</t>
  </si>
  <si>
    <t>10(Q63)</t>
  </si>
  <si>
    <t>11(Q64)</t>
  </si>
  <si>
    <t>12(Q65)</t>
  </si>
  <si>
    <t>13(Q66)</t>
  </si>
  <si>
    <t>14(Q67)</t>
  </si>
  <si>
    <t>15(Q68)</t>
  </si>
  <si>
    <t>16(Q69)</t>
  </si>
  <si>
    <t>Polychoric Correlation Standard Errors</t>
  </si>
  <si>
    <t>Pearson Correlation Standard Errors</t>
  </si>
  <si>
    <t>TABLE 3 - MODEL FIT INDICES</t>
  </si>
  <si>
    <t>CFA Model</t>
  </si>
  <si>
    <t>Chi-Sq
Test</t>
  </si>
  <si>
    <t>Chi-Sq 
Scaling Factor</t>
  </si>
  <si>
    <t>Chi-Sq 
DF</t>
  </si>
  <si>
    <r>
      <t xml:space="preserve">Chi-Sq 
</t>
    </r>
    <r>
      <rPr>
        <i/>
        <sz val="12"/>
        <color theme="1"/>
        <rFont val="Times New Roman"/>
        <family val="1"/>
      </rPr>
      <t>p</t>
    </r>
    <r>
      <rPr>
        <sz val="12"/>
        <color theme="1"/>
        <rFont val="Times New Roman"/>
        <family val="1"/>
      </rPr>
      <t>-value</t>
    </r>
  </si>
  <si>
    <t>TLI</t>
  </si>
  <si>
    <t>CFI</t>
  </si>
  <si>
    <t>RMSEA</t>
  </si>
  <si>
    <t>RMSEA 
90% CI</t>
  </si>
  <si>
    <t>SRMR</t>
  </si>
  <si>
    <t>One factor</t>
  </si>
  <si>
    <t>&lt; .001</t>
  </si>
  <si>
    <t>.105,  .114</t>
  </si>
  <si>
    <t>Unmodified two-factor</t>
  </si>
  <si>
    <t>.079,  .089</t>
  </si>
  <si>
    <t>Modified two-factor</t>
  </si>
  <si>
    <t>.048,  .058</t>
  </si>
  <si>
    <t>IFA Model</t>
  </si>
  <si>
    <t>.124, .134</t>
  </si>
  <si>
    <t>.094, .105</t>
  </si>
  <si>
    <t>.050,  .061</t>
  </si>
  <si>
    <t>TABLE 4: CONFIRMATORY FACTOR ANALYSIS (CFA) PARAMETER ESTIMATES</t>
  </si>
  <si>
    <t>Factor and Item Number</t>
  </si>
  <si>
    <t>Loading</t>
  </si>
  <si>
    <t>Intercept</t>
  </si>
  <si>
    <t>Residual Variance</t>
  </si>
  <si>
    <r>
      <t>R</t>
    </r>
    <r>
      <rPr>
        <b/>
        <vertAlign val="superscript"/>
        <sz val="12"/>
        <color theme="1"/>
        <rFont val="Times New Roman"/>
        <family val="1"/>
      </rPr>
      <t>2</t>
    </r>
  </si>
  <si>
    <t>State of Mind (StM)</t>
  </si>
  <si>
    <t>Unstd. Estimate</t>
  </si>
  <si>
    <t>SE</t>
  </si>
  <si>
    <t>Std. Estimate</t>
  </si>
  <si>
    <t>Estimate</t>
  </si>
  <si>
    <t>Somatic Manifestation</t>
  </si>
  <si>
    <t>Cross-loadings</t>
  </si>
  <si>
    <t>Factor and Residual Covariances</t>
  </si>
  <si>
    <t>StM and SM</t>
  </si>
  <si>
    <t>Item 55 and 56</t>
  </si>
  <si>
    <t>Item 59 and 60</t>
  </si>
  <si>
    <t>TABLE 5: ITEM FACTOR ANALYSIS (IFA) AND ITEM RESPONSE THEORY (IRT) PARAMETER ESTIMATES</t>
  </si>
  <si>
    <t xml:space="preserve"> Factor and 
Item Number</t>
  </si>
  <si>
    <t>IFA Loading (IRT Discrimination)</t>
  </si>
  <si>
    <t>Location Parameters: y &gt; 0</t>
  </si>
  <si>
    <t>Location Parameters: y &gt; 1</t>
  </si>
  <si>
    <t>Location Parameters: y &gt; 2</t>
  </si>
  <si>
    <t xml:space="preserve">IFA Threshold </t>
  </si>
  <si>
    <t>IRT Difficulty</t>
  </si>
  <si>
    <t>Cross-loading</t>
  </si>
  <si>
    <t>Factor Covariances</t>
  </si>
  <si>
    <t>Method Factors</t>
  </si>
  <si>
    <t>Method (factor 3)</t>
  </si>
  <si>
    <t>Method (factor 4)</t>
  </si>
  <si>
    <t>FIGURE 7: STATE OF MIND RELIABILITY PLOTS</t>
  </si>
  <si>
    <t>FIGURE 8: SOMATIC MANIFESTATION RELIABILITY PLOTS</t>
  </si>
  <si>
    <t>FIGURE 9: CFA STATE OF MIND FACTOR SCORE DISTRIBUTION</t>
  </si>
  <si>
    <t>FIGURE 10: CFA SOMATIC MANIFESTATION FACTOR SCORE DISTRIBUTION</t>
  </si>
  <si>
    <t>FIG 11: CFA STATE OF MIND FACTOR SCORE PREDICTED ITEM RESPONSES</t>
  </si>
  <si>
    <t>FIGURE 12: CFA SOMATIC MANIFESTATION FACTOR SCORE PREDICTED ITEM RESPONSES</t>
  </si>
  <si>
    <t>FIGURE 13: IFA/IRT STATE OF MIND FACTOR SCORE DISTRIBUTION</t>
  </si>
  <si>
    <t>FIGURE 14: IFA SOMATIC MANIFESTATION FACTOR SCORE DISTRIBUTION</t>
  </si>
  <si>
    <t>TABLE 6: RACE MEASUREMENT INVARIANCE</t>
  </si>
  <si>
    <t xml:space="preserve">IFA Model Fit: Testing Measurement Invariance of Race Groups (Black vs White) </t>
  </si>
  <si>
    <t>Model</t>
  </si>
  <si>
    <t xml:space="preserve"># Model
 Parameters      </t>
  </si>
  <si>
    <t xml:space="preserve"># Equality constraints      </t>
  </si>
  <si>
    <t xml:space="preserve">RMSEA
</t>
  </si>
  <si>
    <t>RMSEA
90% CI</t>
  </si>
  <si>
    <t xml:space="preserve">SRMR
</t>
  </si>
  <si>
    <t>Configural Invariance Model</t>
  </si>
  <si>
    <t>&lt; .0001</t>
  </si>
  <si>
    <t>.046,  .060</t>
  </si>
  <si>
    <t>Baseline Metric Invariance Model</t>
  </si>
  <si>
    <t>.039, .052</t>
  </si>
  <si>
    <t>Modified Metric Invariance Model</t>
  </si>
  <si>
    <t>.037, .051</t>
  </si>
  <si>
    <t>Baseline Scalar Invariance Model</t>
  </si>
  <si>
    <t>.035, .049</t>
  </si>
  <si>
    <t>Modified Scalar Invariance Model</t>
  </si>
  <si>
    <t>.035, .048</t>
  </si>
  <si>
    <t>Baseline Strict Invariance Model</t>
  </si>
  <si>
    <t>.040, .053</t>
  </si>
  <si>
    <t xml:space="preserve">IFA Model Comparisons: Testing Measurement Invariance of Race Groups (Black vs White) </t>
  </si>
  <si>
    <t>Models Compared</t>
  </si>
  <si>
    <t>Chi-Square difference</t>
  </si>
  <si>
    <t>∆DF</t>
  </si>
  <si>
    <r>
      <t xml:space="preserve"> </t>
    </r>
    <r>
      <rPr>
        <i/>
        <sz val="12"/>
        <color theme="1"/>
        <rFont val="Times New Roman"/>
        <family val="1"/>
      </rPr>
      <t>p</t>
    </r>
    <r>
      <rPr>
        <sz val="12"/>
        <color theme="1"/>
        <rFont val="Times New Roman"/>
        <family val="1"/>
      </rPr>
      <t>-value</t>
    </r>
  </si>
  <si>
    <t>ΔTLI</t>
  </si>
  <si>
    <t>ΔCFI</t>
  </si>
  <si>
    <t>ΔRMSEA</t>
  </si>
  <si>
    <t>ΔSRMR</t>
  </si>
  <si>
    <t xml:space="preserve">Configural vs. Baseline Metric* </t>
  </si>
  <si>
    <t xml:space="preserve">Configural vs Modified Metric* </t>
  </si>
  <si>
    <t>Modified Metric* vs Baseline Scalar</t>
  </si>
  <si>
    <t>Modified Metric vs Modified Scalar*</t>
  </si>
  <si>
    <t>Modified Scalar* vs Baseline Strict</t>
  </si>
  <si>
    <t>TABLE 7: SEX MEASUREMENT INVARIANCE</t>
  </si>
  <si>
    <t xml:space="preserve">IFA Model Fit: Testing Measurement Invariance of Sex Groups (Female vs Male) </t>
  </si>
  <si>
    <t>.050,  .063</t>
  </si>
  <si>
    <t>.038, .051</t>
  </si>
  <si>
    <t>.036, .049</t>
  </si>
  <si>
    <t>.043, .055</t>
  </si>
  <si>
    <t xml:space="preserve">IFA Model Comparisons: Testing Measurement Invariance of Sex Groups (Female vs Male) </t>
  </si>
  <si>
    <t>Threshold 1</t>
  </si>
  <si>
    <t>Threshold 2</t>
  </si>
  <si>
    <t>Threshold 3</t>
  </si>
  <si>
    <t>Factor 
Mean</t>
  </si>
  <si>
    <t>Factor
 Variance</t>
  </si>
  <si>
    <t>Content</t>
  </si>
  <si>
    <t>b1: 0/123
 &gt; No, not at all</t>
  </si>
  <si>
    <t>b2: 01/23
 &gt; Yes, a little</t>
  </si>
  <si>
    <t>b3: 012/3
 &gt; Yes, a moderate amount</t>
  </si>
  <si>
    <t>a (discrimination)</t>
  </si>
  <si>
    <t>1. Have you had difficulties falling asleep?</t>
  </si>
  <si>
    <t>FIGURE 1: STATE OF MIND DISCRIMINATION AND DIFFICULTY PLOTS</t>
  </si>
  <si>
    <t>FIGURE 2: SOMATIC MANIFESTATION DISCRIMINATION AND DIFFICULTY PLOTS</t>
  </si>
  <si>
    <t>2. Have you had difficulties in your social relationships?</t>
  </si>
  <si>
    <t>3. Have you had difficulties communicating with other people?</t>
  </si>
  <si>
    <t>4. Have you felt that you are not playing a useful role in life?</t>
  </si>
  <si>
    <t>5. Have you felt unable to make decisions and start new things?</t>
  </si>
  <si>
    <t>6. Have you felt constantly overwhelmed or stressed?</t>
  </si>
  <si>
    <t>7. Have you felt that your life is a constant struggle?</t>
  </si>
  <si>
    <t>8. Have you felt unable to enjoy your usual activities?</t>
  </si>
  <si>
    <t>9. Have you felt exhausted or weak?</t>
  </si>
  <si>
    <t>10. Have you felt ill?</t>
  </si>
  <si>
    <t>11. Have you experienced any breathing difficulties or shortness of breath for no reason?</t>
  </si>
  <si>
    <t>12. Have your ankles become swollen?</t>
  </si>
  <si>
    <t>13. Have you passed water more often?</t>
  </si>
  <si>
    <t>14. Have you had a dry mouth?</t>
  </si>
  <si>
    <t>15. Have you experienced any pain in your chest without physical exertion?</t>
  </si>
  <si>
    <t>16. Have you experienced pins and needles or any numbness in any part of your body?</t>
  </si>
  <si>
    <t>FIGURE 3: STATE OF MIND TEST INFORMATION</t>
  </si>
  <si>
    <t>FIGURE 4: SOMATIC MANIFESTATION TEST INFORMATION</t>
  </si>
  <si>
    <t>FIGURE 5: ITEM INFORMATION PLOTS FOR STATE OF MIND ITEMS</t>
  </si>
  <si>
    <t>FIGURE 6: ITEM INFORMATION PLOTS FOR SOMATIC MANIFESTATION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</si>
</sst>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0.000"/>
    <numFmt numFmtId="165" formatCode=".0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i/>
      <sz val="12"/>
      <color theme="1"/>
      <name val="Times New Roman"/>
      <family val="1"/>
    </font>
    <font>
      <sz val="12"/>
      <name val="Times New Roman"/>
      <family val="1"/>
    </font>
    <font>
      <b/>
      <vertAlign val="superscript"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1" fillId="0" borderId="0"/>
    <xf numFmtId="0" fontId="3" fillId="0" borderId="0"/>
  </cellStyleXfs>
  <cellXfs count="94">
    <xf numFmtId="0" fontId="0" fillId="0" borderId="0" xfId="0"/>
    <xf numFmtId="0" fontId="3" fillId="0" borderId="0" xfId="1"/>
    <xf numFmtId="0" fontId="4" fillId="0" borderId="0" xfId="1" applyFont="1" applyAlignment="1">
      <alignment vertical="center"/>
    </xf>
    <xf numFmtId="0" fontId="5" fillId="0" borderId="1" xfId="1" applyFont="1" applyBorder="1" applyAlignment="1">
      <alignment horizontal="center"/>
    </xf>
    <xf numFmtId="0" fontId="4" fillId="0" borderId="0" xfId="1" applyFont="1" applyAlignment="1">
      <alignment vertical="center"/>
    </xf>
    <xf numFmtId="0" fontId="6" fillId="0" borderId="0" xfId="1" applyFont="1"/>
    <xf numFmtId="0" fontId="5" fillId="0" borderId="0" xfId="1" applyFont="1"/>
    <xf numFmtId="0" fontId="4" fillId="0" borderId="0" xfId="1" applyFont="1" applyAlignment="1">
      <alignment vertical="center" wrapText="1"/>
    </xf>
    <xf numFmtId="0" fontId="5" fillId="0" borderId="2" xfId="1" applyFont="1" applyBorder="1"/>
    <xf numFmtId="0" fontId="5" fillId="0" borderId="3" xfId="1" applyFont="1" applyBorder="1"/>
    <xf numFmtId="0" fontId="5" fillId="0" borderId="1" xfId="1" applyFont="1" applyBorder="1"/>
    <xf numFmtId="0" fontId="6" fillId="0" borderId="1" xfId="1" applyFont="1" applyBorder="1"/>
    <xf numFmtId="0" fontId="5" fillId="0" borderId="0" xfId="1" applyFont="1" applyAlignment="1">
      <alignment horizontal="center"/>
    </xf>
    <xf numFmtId="0" fontId="6" fillId="0" borderId="3" xfId="1" applyFont="1" applyBorder="1"/>
    <xf numFmtId="0" fontId="5" fillId="0" borderId="3" xfId="1" applyFont="1" applyBorder="1" applyAlignment="1">
      <alignment horizontal="center"/>
    </xf>
    <xf numFmtId="0" fontId="5" fillId="0" borderId="3" xfId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6" fillId="0" borderId="0" xfId="1" applyFont="1" applyAlignment="1">
      <alignment horizontal="center"/>
    </xf>
    <xf numFmtId="164" fontId="6" fillId="0" borderId="0" xfId="1" applyNumberFormat="1" applyFont="1" applyAlignment="1">
      <alignment horizontal="center"/>
    </xf>
    <xf numFmtId="2" fontId="6" fillId="0" borderId="0" xfId="1" applyNumberFormat="1" applyFont="1" applyAlignment="1">
      <alignment horizontal="center"/>
    </xf>
    <xf numFmtId="0" fontId="6" fillId="0" borderId="1" xfId="1" applyFont="1" applyBorder="1" applyAlignment="1">
      <alignment horizontal="center"/>
    </xf>
    <xf numFmtId="164" fontId="6" fillId="0" borderId="1" xfId="1" applyNumberFormat="1" applyFont="1" applyBorder="1" applyAlignment="1">
      <alignment horizontal="center"/>
    </xf>
    <xf numFmtId="2" fontId="6" fillId="0" borderId="1" xfId="1" applyNumberFormat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1" fillId="0" borderId="0" xfId="1" applyFont="1"/>
    <xf numFmtId="165" fontId="1" fillId="0" borderId="0" xfId="1" applyNumberFormat="1" applyFont="1"/>
    <xf numFmtId="0" fontId="1" fillId="0" borderId="0" xfId="1" applyFont="1" applyAlignment="1">
      <alignment horizontal="center"/>
    </xf>
    <xf numFmtId="0" fontId="1" fillId="0" borderId="0" xfId="1" applyFont="1" applyAlignment="1">
      <alignment horizontal="center"/>
    </xf>
    <xf numFmtId="0" fontId="6" fillId="0" borderId="3" xfId="1" applyFont="1" applyBorder="1" applyAlignment="1">
      <alignment horizontal="center" vertical="center" wrapText="1"/>
    </xf>
    <xf numFmtId="1" fontId="6" fillId="0" borderId="3" xfId="1" applyNumberFormat="1" applyFont="1" applyBorder="1" applyAlignment="1">
      <alignment horizontal="center" vertical="center" wrapText="1"/>
    </xf>
    <xf numFmtId="165" fontId="6" fillId="0" borderId="3" xfId="1" applyNumberFormat="1" applyFont="1" applyBorder="1" applyAlignment="1">
      <alignment horizontal="center" vertical="center" wrapText="1"/>
    </xf>
    <xf numFmtId="0" fontId="9" fillId="0" borderId="0" xfId="1" applyFont="1" applyAlignment="1">
      <alignment vertical="center"/>
    </xf>
    <xf numFmtId="164" fontId="9" fillId="0" borderId="0" xfId="1" applyNumberFormat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165" fontId="9" fillId="0" borderId="0" xfId="1" applyNumberFormat="1" applyFont="1" applyAlignment="1">
      <alignment horizontal="center" vertical="center"/>
    </xf>
    <xf numFmtId="0" fontId="9" fillId="0" borderId="3" xfId="1" applyFont="1" applyBorder="1" applyAlignment="1">
      <alignment horizontal="center" vertical="center" wrapText="1"/>
    </xf>
    <xf numFmtId="1" fontId="9" fillId="0" borderId="3" xfId="1" applyNumberFormat="1" applyFont="1" applyBorder="1" applyAlignment="1">
      <alignment horizontal="center" vertical="center" wrapText="1"/>
    </xf>
    <xf numFmtId="165" fontId="9" fillId="0" borderId="3" xfId="1" applyNumberFormat="1" applyFont="1" applyBorder="1" applyAlignment="1">
      <alignment horizontal="center" vertical="center" wrapText="1"/>
    </xf>
    <xf numFmtId="164" fontId="9" fillId="0" borderId="0" xfId="1" applyNumberFormat="1" applyFont="1" applyAlignment="1">
      <alignment horizontal="right" vertical="center"/>
    </xf>
    <xf numFmtId="0" fontId="6" fillId="0" borderId="1" xfId="1" applyFont="1" applyBorder="1" applyAlignment="1">
      <alignment horizontal="right"/>
    </xf>
    <xf numFmtId="0" fontId="5" fillId="0" borderId="2" xfId="1" applyFont="1" applyBorder="1" applyAlignment="1">
      <alignment horizontal="center" vertical="center" wrapText="1"/>
    </xf>
    <xf numFmtId="0" fontId="6" fillId="0" borderId="2" xfId="1" applyFont="1" applyBorder="1" applyAlignment="1">
      <alignment vertical="center"/>
    </xf>
    <xf numFmtId="0" fontId="5" fillId="0" borderId="2" xfId="1" applyFont="1" applyBorder="1" applyAlignment="1">
      <alignment horizontal="center" vertical="center"/>
    </xf>
    <xf numFmtId="0" fontId="6" fillId="0" borderId="0" xfId="1" applyFont="1" applyAlignment="1">
      <alignment vertical="center"/>
    </xf>
    <xf numFmtId="0" fontId="5" fillId="0" borderId="1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horizontal="right"/>
    </xf>
    <xf numFmtId="0" fontId="6" fillId="0" borderId="1" xfId="1" applyFont="1" applyBorder="1" applyAlignment="1">
      <alignment horizontal="center" vertical="center"/>
    </xf>
    <xf numFmtId="164" fontId="6" fillId="0" borderId="0" xfId="1" applyNumberFormat="1" applyFont="1" applyAlignment="1">
      <alignment horizontal="right" vertical="top"/>
    </xf>
    <xf numFmtId="0" fontId="11" fillId="0" borderId="2" xfId="1" applyFont="1" applyBorder="1" applyAlignment="1">
      <alignment horizontal="center" vertical="center" wrapText="1"/>
    </xf>
    <xf numFmtId="0" fontId="12" fillId="0" borderId="2" xfId="1" applyFont="1" applyBorder="1" applyAlignment="1">
      <alignment vertical="center"/>
    </xf>
    <xf numFmtId="0" fontId="11" fillId="0" borderId="2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12" fillId="0" borderId="0" xfId="1" applyFont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11" fillId="0" borderId="0" xfId="1" applyFont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2" fillId="0" borderId="3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11" fillId="0" borderId="0" xfId="1" applyFont="1"/>
    <xf numFmtId="164" fontId="12" fillId="0" borderId="0" xfId="1" applyNumberFormat="1" applyFont="1"/>
    <xf numFmtId="0" fontId="12" fillId="0" borderId="0" xfId="1" applyFont="1"/>
    <xf numFmtId="0" fontId="5" fillId="0" borderId="0" xfId="1" applyFont="1" applyAlignment="1">
      <alignment vertical="center"/>
    </xf>
    <xf numFmtId="165" fontId="6" fillId="0" borderId="3" xfId="1" applyNumberFormat="1" applyFont="1" applyBorder="1" applyAlignment="1">
      <alignment horizontal="center" vertical="center"/>
    </xf>
    <xf numFmtId="1" fontId="6" fillId="0" borderId="0" xfId="1" applyNumberFormat="1" applyFont="1" applyAlignment="1">
      <alignment horizontal="center" vertical="center" wrapText="1"/>
    </xf>
    <xf numFmtId="1" fontId="6" fillId="0" borderId="0" xfId="1" applyNumberFormat="1" applyFont="1" applyAlignment="1">
      <alignment horizontal="center" vertical="center"/>
    </xf>
    <xf numFmtId="165" fontId="6" fillId="0" borderId="0" xfId="1" applyNumberFormat="1" applyFont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0" fontId="6" fillId="0" borderId="0" xfId="1" applyFont="1" applyAlignment="1">
      <alignment horizontal="left" wrapText="1"/>
    </xf>
    <xf numFmtId="1" fontId="6" fillId="0" borderId="0" xfId="1" applyNumberFormat="1" applyFont="1" applyAlignment="1">
      <alignment horizontal="center"/>
    </xf>
    <xf numFmtId="165" fontId="6" fillId="0" borderId="0" xfId="1" applyNumberFormat="1" applyFont="1" applyAlignment="1">
      <alignment horizontal="center"/>
    </xf>
    <xf numFmtId="0" fontId="6" fillId="0" borderId="0" xfId="1" applyFont="1" applyAlignment="1">
      <alignment horizontal="left"/>
    </xf>
    <xf numFmtId="0" fontId="5" fillId="0" borderId="0" xfId="2" applyFont="1" applyAlignment="1">
      <alignment wrapText="1"/>
    </xf>
    <xf numFmtId="164" fontId="5" fillId="0" borderId="0" xfId="2" applyNumberFormat="1" applyFont="1" applyAlignment="1">
      <alignment wrapText="1"/>
    </xf>
    <xf numFmtId="164" fontId="5" fillId="0" borderId="0" xfId="2" applyNumberFormat="1" applyFont="1"/>
    <xf numFmtId="0" fontId="5" fillId="0" borderId="0" xfId="2" applyFont="1" applyAlignment="1">
      <alignment horizontal="center" wrapText="1"/>
    </xf>
    <xf numFmtId="164" fontId="5" fillId="0" borderId="0" xfId="2" applyNumberFormat="1" applyFont="1" applyAlignment="1">
      <alignment horizontal="center" wrapText="1"/>
    </xf>
    <xf numFmtId="0" fontId="5" fillId="0" borderId="0" xfId="2" applyFont="1" applyAlignment="1">
      <alignment horizontal="center"/>
    </xf>
    <xf numFmtId="164" fontId="5" fillId="0" borderId="0" xfId="2" applyNumberFormat="1" applyFont="1" applyAlignment="1">
      <alignment horizontal="center"/>
    </xf>
    <xf numFmtId="164" fontId="1" fillId="0" borderId="0" xfId="2" applyNumberFormat="1" applyAlignment="1">
      <alignment horizontal="center"/>
    </xf>
    <xf numFmtId="0" fontId="1" fillId="0" borderId="0" xfId="2"/>
    <xf numFmtId="0" fontId="2" fillId="0" borderId="0" xfId="2" applyFont="1"/>
    <xf numFmtId="164" fontId="2" fillId="0" borderId="0" xfId="2" applyNumberFormat="1" applyFont="1"/>
    <xf numFmtId="0" fontId="6" fillId="0" borderId="0" xfId="2" applyFont="1" applyAlignment="1">
      <alignment horizontal="center"/>
    </xf>
    <xf numFmtId="164" fontId="6" fillId="0" borderId="0" xfId="2" applyNumberFormat="1" applyFont="1" applyAlignment="1">
      <alignment horizontal="center"/>
    </xf>
    <xf numFmtId="1" fontId="6" fillId="0" borderId="0" xfId="2" applyNumberFormat="1" applyFont="1" applyAlignment="1">
      <alignment horizontal="center"/>
    </xf>
    <xf numFmtId="0" fontId="6" fillId="0" borderId="0" xfId="3" applyFont="1" applyAlignment="1">
      <alignment vertical="center"/>
    </xf>
    <xf numFmtId="0" fontId="5" fillId="0" borderId="0" xfId="2" applyFont="1" applyAlignment="1">
      <alignment horizontal="center"/>
    </xf>
    <xf numFmtId="2" fontId="1" fillId="0" borderId="0" xfId="2" applyNumberFormat="1"/>
    <xf numFmtId="1" fontId="1" fillId="0" borderId="0" xfId="2" applyNumberFormat="1"/>
    <xf numFmtId="164" fontId="1" fillId="0" borderId="0" xfId="2" applyNumberFormat="1"/>
    <xf numFmtId="6" fontId="1" fillId="0" borderId="0" xfId="2" applyNumberFormat="1"/>
  </cellXfs>
  <cellStyles count="4">
    <cellStyle name="Normal" xfId="0" builtinId="0"/>
    <cellStyle name="Normal 2" xfId="1" xr:uid="{78F83993-7668-4D13-B1CC-69F7CFA2F250}"/>
    <cellStyle name="Normal 2 2" xfId="3" xr:uid="{F679E414-8750-477B-B82C-303D6EC8FD5D}"/>
    <cellStyle name="Normal 4 2" xfId="2" xr:uid="{2954EED5-8C93-490F-83C1-2AA290CB32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1"/>
    </mc:Choice>
    <mc:Fallback>
      <c:style val="11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Item Difficulty </a:t>
            </a:r>
            <a:br>
              <a:rPr lang="en-US" sz="1400"/>
            </a:br>
            <a:r>
              <a:rPr lang="en-US" sz="1400"/>
              <a:t>Location Parameters</a:t>
            </a:r>
          </a:p>
        </c:rich>
      </c:tx>
      <c:layout>
        <c:manualLayout>
          <c:xMode val="edge"/>
          <c:yMode val="edge"/>
          <c:x val="0.78512496961960798"/>
          <c:y val="0.44135613481734509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109642752934466"/>
          <c:y val="0.43441874922141321"/>
          <c:w val="0.66719189157194059"/>
          <c:h val="0.43271123490048902"/>
        </c:manualLayout>
      </c:layout>
      <c:stockChart>
        <c:ser>
          <c:idx val="2"/>
          <c:order val="0"/>
          <c:tx>
            <c:strRef>
              <c:f>'Discrim and Diff plots'!$L$1</c:f>
              <c:strCache>
                <c:ptCount val="1"/>
                <c:pt idx="0">
                  <c:v>b3: 012/3
 &gt; Yes, a moderate amount</c:v>
                </c:pt>
              </c:strCache>
            </c:strRef>
          </c:tx>
          <c:spPr>
            <a:ln w="47625">
              <a:noFill/>
            </a:ln>
          </c:spPr>
          <c:marker>
            <c:symbol val="x"/>
            <c:size val="7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cat>
            <c:strRef>
              <c:f>'Discrim and Diff plots'!$I$2:$I$11</c:f>
              <c:strCache>
                <c:ptCount val="10"/>
                <c:pt idx="0">
                  <c:v>1 (Q54)</c:v>
                </c:pt>
                <c:pt idx="1">
                  <c:v>2 (Q55)</c:v>
                </c:pt>
                <c:pt idx="2">
                  <c:v>3 (Q56)</c:v>
                </c:pt>
                <c:pt idx="3">
                  <c:v>4 (Q57)</c:v>
                </c:pt>
                <c:pt idx="4">
                  <c:v>5 (Q58)</c:v>
                </c:pt>
                <c:pt idx="5">
                  <c:v>6 (Q59)</c:v>
                </c:pt>
                <c:pt idx="6">
                  <c:v>7 (Q60)</c:v>
                </c:pt>
                <c:pt idx="7">
                  <c:v>8 (Q61)</c:v>
                </c:pt>
                <c:pt idx="8">
                  <c:v>9 (Q62)</c:v>
                </c:pt>
                <c:pt idx="9">
                  <c:v>10 (Q63)</c:v>
                </c:pt>
              </c:strCache>
            </c:strRef>
          </c:cat>
          <c:val>
            <c:numRef>
              <c:f>'Discrim and Diff plots'!$L$2:$L$11</c:f>
              <c:numCache>
                <c:formatCode>0.000</c:formatCode>
                <c:ptCount val="10"/>
                <c:pt idx="0">
                  <c:v>-1.4364646852924006</c:v>
                </c:pt>
                <c:pt idx="1">
                  <c:v>-1.6735150490789688</c:v>
                </c:pt>
                <c:pt idx="2">
                  <c:v>-1.6467588433266473</c:v>
                </c:pt>
                <c:pt idx="3">
                  <c:v>-1.1787258546768604</c:v>
                </c:pt>
                <c:pt idx="4">
                  <c:v>-1.5935042808070661</c:v>
                </c:pt>
                <c:pt idx="5">
                  <c:v>-0.83134550992154999</c:v>
                </c:pt>
                <c:pt idx="6">
                  <c:v>-0.83763596743828583</c:v>
                </c:pt>
                <c:pt idx="7">
                  <c:v>-1.1663227543034411</c:v>
                </c:pt>
                <c:pt idx="8">
                  <c:v>-1.5090444834528325</c:v>
                </c:pt>
                <c:pt idx="9">
                  <c:v>-5.9993890572372743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10-4C5C-B4E8-F3953EF92F0A}"/>
            </c:ext>
          </c:extLst>
        </c:ser>
        <c:ser>
          <c:idx val="1"/>
          <c:order val="1"/>
          <c:tx>
            <c:strRef>
              <c:f>'Discrim and Diff plots'!$K$1</c:f>
              <c:strCache>
                <c:ptCount val="1"/>
                <c:pt idx="0">
                  <c:v>b2: 01/23
 &gt; Yes, a little</c:v>
                </c:pt>
              </c:strCache>
            </c:strRef>
          </c:tx>
          <c:spPr>
            <a:ln w="47625">
              <a:noFill/>
            </a:ln>
          </c:spPr>
          <c:marker>
            <c:symbol val="triangle"/>
            <c:size val="9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</c:spPr>
          </c:marker>
          <c:cat>
            <c:strRef>
              <c:f>'Discrim and Diff plots'!$I$2:$I$11</c:f>
              <c:strCache>
                <c:ptCount val="10"/>
                <c:pt idx="0">
                  <c:v>1 (Q54)</c:v>
                </c:pt>
                <c:pt idx="1">
                  <c:v>2 (Q55)</c:v>
                </c:pt>
                <c:pt idx="2">
                  <c:v>3 (Q56)</c:v>
                </c:pt>
                <c:pt idx="3">
                  <c:v>4 (Q57)</c:v>
                </c:pt>
                <c:pt idx="4">
                  <c:v>5 (Q58)</c:v>
                </c:pt>
                <c:pt idx="5">
                  <c:v>6 (Q59)</c:v>
                </c:pt>
                <c:pt idx="6">
                  <c:v>7 (Q60)</c:v>
                </c:pt>
                <c:pt idx="7">
                  <c:v>8 (Q61)</c:v>
                </c:pt>
                <c:pt idx="8">
                  <c:v>9 (Q62)</c:v>
                </c:pt>
                <c:pt idx="9">
                  <c:v>10 (Q63)</c:v>
                </c:pt>
              </c:strCache>
            </c:strRef>
          </c:cat>
          <c:val>
            <c:numRef>
              <c:f>'Discrim and Diff plots'!$K$2:$K$11</c:f>
              <c:numCache>
                <c:formatCode>0.000</c:formatCode>
                <c:ptCount val="10"/>
                <c:pt idx="0">
                  <c:v>-0.69975774406972457</c:v>
                </c:pt>
                <c:pt idx="1">
                  <c:v>-0.91113185088146276</c:v>
                </c:pt>
                <c:pt idx="2">
                  <c:v>-0.93197789125855457</c:v>
                </c:pt>
                <c:pt idx="3">
                  <c:v>-0.58263799937570326</c:v>
                </c:pt>
                <c:pt idx="4">
                  <c:v>-0.87170244664696217</c:v>
                </c:pt>
                <c:pt idx="5">
                  <c:v>-0.22280133054974374</c:v>
                </c:pt>
                <c:pt idx="6">
                  <c:v>-0.29548054406508051</c:v>
                </c:pt>
                <c:pt idx="7">
                  <c:v>-0.51365876000571131</c:v>
                </c:pt>
                <c:pt idx="8">
                  <c:v>-0.57893978323990325</c:v>
                </c:pt>
                <c:pt idx="9">
                  <c:v>-3.9133423092629385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10-4C5C-B4E8-F3953EF92F0A}"/>
            </c:ext>
          </c:extLst>
        </c:ser>
        <c:ser>
          <c:idx val="0"/>
          <c:order val="2"/>
          <c:tx>
            <c:strRef>
              <c:f>'Discrim and Diff plots'!$J$1</c:f>
              <c:strCache>
                <c:ptCount val="1"/>
                <c:pt idx="0">
                  <c:v>b1: 0/123
 &gt; No, not at all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8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cat>
            <c:strRef>
              <c:f>'Discrim and Diff plots'!$I$2:$I$11</c:f>
              <c:strCache>
                <c:ptCount val="10"/>
                <c:pt idx="0">
                  <c:v>1 (Q54)</c:v>
                </c:pt>
                <c:pt idx="1">
                  <c:v>2 (Q55)</c:v>
                </c:pt>
                <c:pt idx="2">
                  <c:v>3 (Q56)</c:v>
                </c:pt>
                <c:pt idx="3">
                  <c:v>4 (Q57)</c:v>
                </c:pt>
                <c:pt idx="4">
                  <c:v>5 (Q58)</c:v>
                </c:pt>
                <c:pt idx="5">
                  <c:v>6 (Q59)</c:v>
                </c:pt>
                <c:pt idx="6">
                  <c:v>7 (Q60)</c:v>
                </c:pt>
                <c:pt idx="7">
                  <c:v>8 (Q61)</c:v>
                </c:pt>
                <c:pt idx="8">
                  <c:v>9 (Q62)</c:v>
                </c:pt>
                <c:pt idx="9">
                  <c:v>10 (Q63)</c:v>
                </c:pt>
              </c:strCache>
            </c:strRef>
          </c:cat>
          <c:val>
            <c:numRef>
              <c:f>'Discrim and Diff plots'!$J$2:$J$11</c:f>
              <c:numCache>
                <c:formatCode>0.000</c:formatCode>
                <c:ptCount val="10"/>
                <c:pt idx="0">
                  <c:v>0.94986245158798055</c:v>
                </c:pt>
                <c:pt idx="1">
                  <c:v>4.3253354114516536E-2</c:v>
                </c:pt>
                <c:pt idx="2">
                  <c:v>-1.1091657189242762E-2</c:v>
                </c:pt>
                <c:pt idx="3">
                  <c:v>0.32208806677765062</c:v>
                </c:pt>
                <c:pt idx="4">
                  <c:v>4.2632080214535031E-2</c:v>
                </c:pt>
                <c:pt idx="5">
                  <c:v>0.81507099916084269</c:v>
                </c:pt>
                <c:pt idx="6">
                  <c:v>0.55538772080831156</c:v>
                </c:pt>
                <c:pt idx="7">
                  <c:v>0.26496176166437541</c:v>
                </c:pt>
                <c:pt idx="8">
                  <c:v>1.0522335706156913</c:v>
                </c:pt>
                <c:pt idx="9">
                  <c:v>-0.42101506581564502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10-4C5C-B4E8-F3953EF92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/>
        <c:upDownBars>
          <c:gapWidth val="150"/>
          <c:upBars>
            <c:spPr>
              <a:ln>
                <a:noFill/>
              </a:ln>
            </c:spPr>
          </c:upBars>
          <c:downBar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solidFill>
                  <a:schemeClr val="accent1">
                    <a:lumMod val="20000"/>
                    <a:lumOff val="80000"/>
                  </a:schemeClr>
                </a:solidFill>
              </a:ln>
            </c:spPr>
          </c:downBars>
        </c:upDownBars>
        <c:axId val="178038272"/>
        <c:axId val="169299328"/>
      </c:stockChart>
      <c:catAx>
        <c:axId val="178038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Item Number</a:t>
                </a:r>
              </a:p>
            </c:rich>
          </c:tx>
          <c:layout>
            <c:manualLayout>
              <c:xMode val="edge"/>
              <c:yMode val="edge"/>
              <c:x val="0.38952925376535735"/>
              <c:y val="0.9296821012489444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69299328"/>
        <c:crossesAt val="-10"/>
        <c:auto val="0"/>
        <c:lblAlgn val="ctr"/>
        <c:lblOffset val="100"/>
        <c:noMultiLvlLbl val="0"/>
      </c:catAx>
      <c:valAx>
        <c:axId val="169299328"/>
        <c:scaling>
          <c:orientation val="minMax"/>
          <c:max val="1.5"/>
          <c:min val="-7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Latent Trait (StM)</a:t>
                </a:r>
              </a:p>
            </c:rich>
          </c:tx>
          <c:layout>
            <c:manualLayout>
              <c:xMode val="edge"/>
              <c:yMode val="edge"/>
              <c:x val="1.7873484520655045E-2"/>
              <c:y val="0.57462320458399418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crossAx val="178038272"/>
        <c:crosses val="autoZero"/>
        <c:crossBetween val="between"/>
        <c:majorUnit val="0.5"/>
      </c:valAx>
    </c:plotArea>
    <c:legend>
      <c:legendPos val="r"/>
      <c:layout>
        <c:manualLayout>
          <c:xMode val="edge"/>
          <c:yMode val="edge"/>
          <c:x val="0.79310096507661276"/>
          <c:y val="0.55031019708237416"/>
          <c:w val="0.19881832300154881"/>
          <c:h val="0.30937599035221947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Item Discrimination Parameters</a:t>
            </a:r>
          </a:p>
        </c:rich>
      </c:tx>
      <c:layout>
        <c:manualLayout>
          <c:xMode val="edge"/>
          <c:yMode val="edge"/>
          <c:x val="0.29222251424655676"/>
          <c:y val="3.557562481441849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8702135945338457E-2"/>
          <c:y val="0.18675438787888532"/>
          <c:w val="0.69162496302164855"/>
          <c:h val="0.7648763336857549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strRef>
              <c:f>'Discrim and Diff plots'!$I$2:$I$11</c:f>
              <c:strCache>
                <c:ptCount val="10"/>
                <c:pt idx="0">
                  <c:v>1 (Q54)</c:v>
                </c:pt>
                <c:pt idx="1">
                  <c:v>2 (Q55)</c:v>
                </c:pt>
                <c:pt idx="2">
                  <c:v>3 (Q56)</c:v>
                </c:pt>
                <c:pt idx="3">
                  <c:v>4 (Q57)</c:v>
                </c:pt>
                <c:pt idx="4">
                  <c:v>5 (Q58)</c:v>
                </c:pt>
                <c:pt idx="5">
                  <c:v>6 (Q59)</c:v>
                </c:pt>
                <c:pt idx="6">
                  <c:v>7 (Q60)</c:v>
                </c:pt>
                <c:pt idx="7">
                  <c:v>8 (Q61)</c:v>
                </c:pt>
                <c:pt idx="8">
                  <c:v>9 (Q62)</c:v>
                </c:pt>
                <c:pt idx="9">
                  <c:v>10 (Q63)</c:v>
                </c:pt>
              </c:strCache>
            </c:strRef>
          </c:cat>
          <c:val>
            <c:numRef>
              <c:f>'Discrim and Diff plots'!$M$2:$M$11</c:f>
              <c:numCache>
                <c:formatCode>0.000</c:formatCode>
                <c:ptCount val="10"/>
                <c:pt idx="0">
                  <c:v>1.4055342200000001</c:v>
                </c:pt>
                <c:pt idx="1">
                  <c:v>3.2389301100000001</c:v>
                </c:pt>
                <c:pt idx="2">
                  <c:v>3.3278294100000001</c:v>
                </c:pt>
                <c:pt idx="3">
                  <c:v>2.36461269</c:v>
                </c:pt>
                <c:pt idx="4">
                  <c:v>2.51630705</c:v>
                </c:pt>
                <c:pt idx="5">
                  <c:v>3.84867084</c:v>
                </c:pt>
                <c:pt idx="6">
                  <c:v>4.3629324599999997</c:v>
                </c:pt>
                <c:pt idx="7">
                  <c:v>3.7646199199999999</c:v>
                </c:pt>
                <c:pt idx="8">
                  <c:v>1.8549742600000001</c:v>
                </c:pt>
                <c:pt idx="9">
                  <c:v>0.68179381999999999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04-49DD-BDC7-978917358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8040320"/>
        <c:axId val="169301632"/>
      </c:barChart>
      <c:catAx>
        <c:axId val="1780403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9301632"/>
        <c:crosses val="autoZero"/>
        <c:auto val="1"/>
        <c:lblAlgn val="ctr"/>
        <c:lblOffset val="100"/>
        <c:noMultiLvlLbl val="0"/>
      </c:catAx>
      <c:valAx>
        <c:axId val="169301632"/>
        <c:scaling>
          <c:orientation val="minMax"/>
          <c:max val="7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a: Item Discrimination</a:t>
                </a:r>
              </a:p>
            </c:rich>
          </c:tx>
          <c:layout>
            <c:manualLayout>
              <c:xMode val="edge"/>
              <c:yMode val="edge"/>
              <c:x val="6.5031850416328568E-3"/>
              <c:y val="0.1928755054586120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78040320"/>
        <c:crosses val="autoZero"/>
        <c:crossBetween val="between"/>
        <c:majorUnit val="1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1"/>
    </mc:Choice>
    <mc:Fallback>
      <c:style val="11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Item Difficulty </a:t>
            </a:r>
            <a:br>
              <a:rPr lang="en-US" sz="1400"/>
            </a:br>
            <a:r>
              <a:rPr lang="en-US" sz="1400"/>
              <a:t>Location Parameters</a:t>
            </a:r>
          </a:p>
        </c:rich>
      </c:tx>
      <c:layout>
        <c:manualLayout>
          <c:xMode val="edge"/>
          <c:yMode val="edge"/>
          <c:x val="0.78512496961960798"/>
          <c:y val="0.44135613481734509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109642752934466"/>
          <c:y val="0.43441874922141321"/>
          <c:w val="0.66719189157194059"/>
          <c:h val="0.43271123490048902"/>
        </c:manualLayout>
      </c:layout>
      <c:stockChart>
        <c:ser>
          <c:idx val="2"/>
          <c:order val="0"/>
          <c:tx>
            <c:strRef>
              <c:f>'Discrim and Diff plots'!$L$1</c:f>
              <c:strCache>
                <c:ptCount val="1"/>
                <c:pt idx="0">
                  <c:v>b3: 012/3
 &gt; Yes, a moderate amount</c:v>
                </c:pt>
              </c:strCache>
            </c:strRef>
          </c:tx>
          <c:spPr>
            <a:ln w="47625">
              <a:noFill/>
            </a:ln>
          </c:spPr>
          <c:marker>
            <c:symbol val="x"/>
            <c:size val="7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cat>
            <c:strRef>
              <c:f>'Discrim and Diff plots'!$I$12:$I$19</c:f>
              <c:strCache>
                <c:ptCount val="8"/>
                <c:pt idx="0">
                  <c:v>11 (Q64)</c:v>
                </c:pt>
                <c:pt idx="1">
                  <c:v>12 (Q65)</c:v>
                </c:pt>
                <c:pt idx="2">
                  <c:v>13 (Q66)</c:v>
                </c:pt>
                <c:pt idx="3">
                  <c:v>14 (Q67)</c:v>
                </c:pt>
                <c:pt idx="4">
                  <c:v>15 (Q68)</c:v>
                </c:pt>
                <c:pt idx="5">
                  <c:v>16 (Q69)</c:v>
                </c:pt>
                <c:pt idx="6">
                  <c:v>9 (Q62)</c:v>
                </c:pt>
                <c:pt idx="7">
                  <c:v>10 (Q63)</c:v>
                </c:pt>
              </c:strCache>
            </c:strRef>
          </c:cat>
          <c:val>
            <c:numRef>
              <c:f>'Discrim and Diff plots'!$L$12:$L$19</c:f>
              <c:numCache>
                <c:formatCode>0.000</c:formatCode>
                <c:ptCount val="8"/>
                <c:pt idx="0">
                  <c:v>-2.0447481336752062</c:v>
                </c:pt>
                <c:pt idx="1">
                  <c:v>-2.6594547297070723</c:v>
                </c:pt>
                <c:pt idx="2">
                  <c:v>-3.1978623764926679</c:v>
                </c:pt>
                <c:pt idx="3">
                  <c:v>-2.2777290733421292</c:v>
                </c:pt>
                <c:pt idx="4">
                  <c:v>-2.8526199327047235</c:v>
                </c:pt>
                <c:pt idx="5">
                  <c:v>-2.1928611130458582</c:v>
                </c:pt>
                <c:pt idx="6">
                  <c:v>-3.5274570707651143</c:v>
                </c:pt>
                <c:pt idx="7">
                  <c:v>-2.4666770252298043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2B-46A2-8EEE-A53661F5F9B0}"/>
            </c:ext>
          </c:extLst>
        </c:ser>
        <c:ser>
          <c:idx val="1"/>
          <c:order val="1"/>
          <c:tx>
            <c:strRef>
              <c:f>'Discrim and Diff plots'!$K$1</c:f>
              <c:strCache>
                <c:ptCount val="1"/>
                <c:pt idx="0">
                  <c:v>b2: 01/23
 &gt; Yes, a little</c:v>
                </c:pt>
              </c:strCache>
            </c:strRef>
          </c:tx>
          <c:spPr>
            <a:ln w="47625">
              <a:noFill/>
            </a:ln>
          </c:spPr>
          <c:marker>
            <c:symbol val="triangle"/>
            <c:size val="9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</c:spPr>
          </c:marker>
          <c:cat>
            <c:strRef>
              <c:f>'Discrim and Diff plots'!$I$12:$I$19</c:f>
              <c:strCache>
                <c:ptCount val="8"/>
                <c:pt idx="0">
                  <c:v>11 (Q64)</c:v>
                </c:pt>
                <c:pt idx="1">
                  <c:v>12 (Q65)</c:v>
                </c:pt>
                <c:pt idx="2">
                  <c:v>13 (Q66)</c:v>
                </c:pt>
                <c:pt idx="3">
                  <c:v>14 (Q67)</c:v>
                </c:pt>
                <c:pt idx="4">
                  <c:v>15 (Q68)</c:v>
                </c:pt>
                <c:pt idx="5">
                  <c:v>16 (Q69)</c:v>
                </c:pt>
                <c:pt idx="6">
                  <c:v>9 (Q62)</c:v>
                </c:pt>
                <c:pt idx="7">
                  <c:v>10 (Q63)</c:v>
                </c:pt>
              </c:strCache>
            </c:strRef>
          </c:cat>
          <c:val>
            <c:numRef>
              <c:f>'Discrim and Diff plots'!$K$12:$K$19</c:f>
              <c:numCache>
                <c:formatCode>0.000</c:formatCode>
                <c:ptCount val="8"/>
                <c:pt idx="0">
                  <c:v>-1.3735172937111222</c:v>
                </c:pt>
                <c:pt idx="1">
                  <c:v>-1.8927024972022513</c:v>
                </c:pt>
                <c:pt idx="2">
                  <c:v>-2.0570277405987163</c:v>
                </c:pt>
                <c:pt idx="3">
                  <c:v>-1.4833897835270886</c:v>
                </c:pt>
                <c:pt idx="4">
                  <c:v>-1.9868190749745993</c:v>
                </c:pt>
                <c:pt idx="5">
                  <c:v>-1.3825570654083277</c:v>
                </c:pt>
                <c:pt idx="6">
                  <c:v>-1.3532969069699734</c:v>
                </c:pt>
                <c:pt idx="7">
                  <c:v>-1.608989094393527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2B-46A2-8EEE-A53661F5F9B0}"/>
            </c:ext>
          </c:extLst>
        </c:ser>
        <c:ser>
          <c:idx val="0"/>
          <c:order val="2"/>
          <c:tx>
            <c:strRef>
              <c:f>'Discrim and Diff plots'!$J$1</c:f>
              <c:strCache>
                <c:ptCount val="1"/>
                <c:pt idx="0">
                  <c:v>b1: 0/123
 &gt; No, not at all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8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cat>
            <c:strRef>
              <c:f>'Discrim and Diff plots'!$I$12:$I$19</c:f>
              <c:strCache>
                <c:ptCount val="8"/>
                <c:pt idx="0">
                  <c:v>11 (Q64)</c:v>
                </c:pt>
                <c:pt idx="1">
                  <c:v>12 (Q65)</c:v>
                </c:pt>
                <c:pt idx="2">
                  <c:v>13 (Q66)</c:v>
                </c:pt>
                <c:pt idx="3">
                  <c:v>14 (Q67)</c:v>
                </c:pt>
                <c:pt idx="4">
                  <c:v>15 (Q68)</c:v>
                </c:pt>
                <c:pt idx="5">
                  <c:v>16 (Q69)</c:v>
                </c:pt>
                <c:pt idx="6">
                  <c:v>9 (Q62)</c:v>
                </c:pt>
                <c:pt idx="7">
                  <c:v>10 (Q63)</c:v>
                </c:pt>
              </c:strCache>
            </c:strRef>
          </c:cat>
          <c:val>
            <c:numRef>
              <c:f>'Discrim and Diff plots'!$J$12:$J$19</c:f>
              <c:numCache>
                <c:formatCode>0.000</c:formatCode>
                <c:ptCount val="8"/>
                <c:pt idx="0">
                  <c:v>-0.52676633825969099</c:v>
                </c:pt>
                <c:pt idx="1">
                  <c:v>-0.90852220098968461</c:v>
                </c:pt>
                <c:pt idx="2">
                  <c:v>-0.62560534455894734</c:v>
                </c:pt>
                <c:pt idx="3">
                  <c:v>-2.1082500844799203E-2</c:v>
                </c:pt>
                <c:pt idx="4">
                  <c:v>-0.78241535037426657</c:v>
                </c:pt>
                <c:pt idx="5">
                  <c:v>-0.2149572531691413</c:v>
                </c:pt>
                <c:pt idx="6">
                  <c:v>2.4596417066990717</c:v>
                </c:pt>
                <c:pt idx="7">
                  <c:v>-0.17310232428921682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2B-46A2-8EEE-A53661F5F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/>
        <c:upDownBars>
          <c:gapWidth val="150"/>
          <c:upBars>
            <c:spPr>
              <a:ln>
                <a:noFill/>
              </a:ln>
            </c:spPr>
          </c:upBars>
          <c:downBar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solidFill>
                  <a:schemeClr val="accent1">
                    <a:lumMod val="20000"/>
                    <a:lumOff val="80000"/>
                  </a:schemeClr>
                </a:solidFill>
              </a:ln>
            </c:spPr>
          </c:downBars>
        </c:upDownBars>
        <c:axId val="178038272"/>
        <c:axId val="169299328"/>
      </c:stockChart>
      <c:catAx>
        <c:axId val="178038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Item Number</a:t>
                </a:r>
              </a:p>
            </c:rich>
          </c:tx>
          <c:layout>
            <c:manualLayout>
              <c:xMode val="edge"/>
              <c:yMode val="edge"/>
              <c:x val="0.38952925376535735"/>
              <c:y val="0.9296821012489444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69299328"/>
        <c:crossesAt val="-10"/>
        <c:auto val="0"/>
        <c:lblAlgn val="ctr"/>
        <c:lblOffset val="100"/>
        <c:noMultiLvlLbl val="0"/>
      </c:catAx>
      <c:valAx>
        <c:axId val="169299328"/>
        <c:scaling>
          <c:orientation val="minMax"/>
          <c:max val="3"/>
          <c:min val="-5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Latent Trait (SM)</a:t>
                </a:r>
              </a:p>
            </c:rich>
          </c:tx>
          <c:layout>
            <c:manualLayout>
              <c:xMode val="edge"/>
              <c:yMode val="edge"/>
              <c:x val="1.7873484520655045E-2"/>
              <c:y val="0.57462320458399418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crossAx val="178038272"/>
        <c:crosses val="autoZero"/>
        <c:crossBetween val="between"/>
        <c:majorUnit val="0.5"/>
      </c:valAx>
    </c:plotArea>
    <c:legend>
      <c:legendPos val="r"/>
      <c:layout>
        <c:manualLayout>
          <c:xMode val="edge"/>
          <c:yMode val="edge"/>
          <c:x val="0.79310096507661276"/>
          <c:y val="0.55031019708237416"/>
          <c:w val="0.19881832300154881"/>
          <c:h val="0.30937599035221947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Item Discrimination Parameters</a:t>
            </a:r>
          </a:p>
        </c:rich>
      </c:tx>
      <c:layout>
        <c:manualLayout>
          <c:xMode val="edge"/>
          <c:yMode val="edge"/>
          <c:x val="0.29222251424655676"/>
          <c:y val="3.557562481441849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8702135945338457E-2"/>
          <c:y val="0.18675438787888532"/>
          <c:w val="0.69162496302164855"/>
          <c:h val="0.7648763336857549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</c:spPr>
          <c:invertIfNegative val="0"/>
          <c:cat>
            <c:strRef>
              <c:f>'Discrim and Diff plots'!$I$12:$I$19</c:f>
              <c:strCache>
                <c:ptCount val="8"/>
                <c:pt idx="0">
                  <c:v>11 (Q64)</c:v>
                </c:pt>
                <c:pt idx="1">
                  <c:v>12 (Q65)</c:v>
                </c:pt>
                <c:pt idx="2">
                  <c:v>13 (Q66)</c:v>
                </c:pt>
                <c:pt idx="3">
                  <c:v>14 (Q67)</c:v>
                </c:pt>
                <c:pt idx="4">
                  <c:v>15 (Q68)</c:v>
                </c:pt>
                <c:pt idx="5">
                  <c:v>16 (Q69)</c:v>
                </c:pt>
                <c:pt idx="6">
                  <c:v>9 (Q62)</c:v>
                </c:pt>
                <c:pt idx="7">
                  <c:v>10 (Q63)</c:v>
                </c:pt>
              </c:strCache>
            </c:strRef>
          </c:cat>
          <c:val>
            <c:numRef>
              <c:f>'Discrim and Diff plots'!$M$12:$M$19</c:f>
              <c:numCache>
                <c:formatCode>0.000</c:formatCode>
                <c:ptCount val="8"/>
                <c:pt idx="0">
                  <c:v>2.8782650900000002</c:v>
                </c:pt>
                <c:pt idx="1">
                  <c:v>1.5080784899999999</c:v>
                </c:pt>
                <c:pt idx="2">
                  <c:v>1.2885388799999999</c:v>
                </c:pt>
                <c:pt idx="3">
                  <c:v>1.6993387200000001</c:v>
                </c:pt>
                <c:pt idx="4">
                  <c:v>2.14874813</c:v>
                </c:pt>
                <c:pt idx="5">
                  <c:v>1.9554666000000001</c:v>
                </c:pt>
                <c:pt idx="6">
                  <c:v>0.79355712</c:v>
                </c:pt>
                <c:pt idx="7">
                  <c:v>1.6582415699999999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B-4BDD-8458-3F9C8F960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8040320"/>
        <c:axId val="169301632"/>
      </c:barChart>
      <c:catAx>
        <c:axId val="1780403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9301632"/>
        <c:crosses val="autoZero"/>
        <c:auto val="1"/>
        <c:lblAlgn val="ctr"/>
        <c:lblOffset val="100"/>
        <c:noMultiLvlLbl val="0"/>
      </c:catAx>
      <c:valAx>
        <c:axId val="169301632"/>
        <c:scaling>
          <c:orientation val="minMax"/>
          <c:max val="7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a: Item Discrimination</a:t>
                </a:r>
              </a:p>
            </c:rich>
          </c:tx>
          <c:layout>
            <c:manualLayout>
              <c:xMode val="edge"/>
              <c:yMode val="edge"/>
              <c:x val="6.5031850416328568E-3"/>
              <c:y val="0.19287550545861207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78040320"/>
        <c:crosses val="autoZero"/>
        <c:crossBetween val="between"/>
        <c:majorUnit val="1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image" Target="../media/image17.png"/><Relationship Id="rId18" Type="http://schemas.openxmlformats.org/officeDocument/2006/relationships/image" Target="../media/image2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12" Type="http://schemas.openxmlformats.org/officeDocument/2006/relationships/image" Target="../media/image16.png"/><Relationship Id="rId17" Type="http://schemas.openxmlformats.org/officeDocument/2006/relationships/image" Target="../media/image21.png"/><Relationship Id="rId2" Type="http://schemas.openxmlformats.org/officeDocument/2006/relationships/image" Target="../media/image6.png"/><Relationship Id="rId16" Type="http://schemas.openxmlformats.org/officeDocument/2006/relationships/image" Target="../media/image20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11" Type="http://schemas.openxmlformats.org/officeDocument/2006/relationships/image" Target="../media/image15.png"/><Relationship Id="rId5" Type="http://schemas.openxmlformats.org/officeDocument/2006/relationships/image" Target="../media/image9.png"/><Relationship Id="rId15" Type="http://schemas.openxmlformats.org/officeDocument/2006/relationships/image" Target="../media/image19.png"/><Relationship Id="rId10" Type="http://schemas.openxmlformats.org/officeDocument/2006/relationships/image" Target="../media/image14.png"/><Relationship Id="rId4" Type="http://schemas.openxmlformats.org/officeDocument/2006/relationships/image" Target="../media/image8.png"/><Relationship Id="rId9" Type="http://schemas.openxmlformats.org/officeDocument/2006/relationships/image" Target="../media/image13.png"/><Relationship Id="rId14" Type="http://schemas.openxmlformats.org/officeDocument/2006/relationships/image" Target="../media/image18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0.png"/><Relationship Id="rId13" Type="http://schemas.openxmlformats.org/officeDocument/2006/relationships/image" Target="../media/image35.png"/><Relationship Id="rId18" Type="http://schemas.openxmlformats.org/officeDocument/2006/relationships/image" Target="../media/image40.png"/><Relationship Id="rId3" Type="http://schemas.openxmlformats.org/officeDocument/2006/relationships/image" Target="../media/image25.png"/><Relationship Id="rId7" Type="http://schemas.openxmlformats.org/officeDocument/2006/relationships/image" Target="../media/image29.png"/><Relationship Id="rId12" Type="http://schemas.openxmlformats.org/officeDocument/2006/relationships/image" Target="../media/image34.png"/><Relationship Id="rId17" Type="http://schemas.openxmlformats.org/officeDocument/2006/relationships/image" Target="../media/image39.png"/><Relationship Id="rId2" Type="http://schemas.openxmlformats.org/officeDocument/2006/relationships/image" Target="../media/image24.png"/><Relationship Id="rId16" Type="http://schemas.openxmlformats.org/officeDocument/2006/relationships/image" Target="../media/image38.png"/><Relationship Id="rId1" Type="http://schemas.openxmlformats.org/officeDocument/2006/relationships/image" Target="../media/image23.png"/><Relationship Id="rId6" Type="http://schemas.openxmlformats.org/officeDocument/2006/relationships/image" Target="../media/image28.png"/><Relationship Id="rId11" Type="http://schemas.openxmlformats.org/officeDocument/2006/relationships/image" Target="../media/image33.png"/><Relationship Id="rId5" Type="http://schemas.openxmlformats.org/officeDocument/2006/relationships/image" Target="../media/image27.png"/><Relationship Id="rId15" Type="http://schemas.openxmlformats.org/officeDocument/2006/relationships/image" Target="../media/image37.png"/><Relationship Id="rId10" Type="http://schemas.openxmlformats.org/officeDocument/2006/relationships/image" Target="../media/image32.png"/><Relationship Id="rId4" Type="http://schemas.openxmlformats.org/officeDocument/2006/relationships/image" Target="../media/image26.png"/><Relationship Id="rId9" Type="http://schemas.openxmlformats.org/officeDocument/2006/relationships/image" Target="../media/image31.png"/><Relationship Id="rId14" Type="http://schemas.openxmlformats.org/officeDocument/2006/relationships/image" Target="../media/image36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2.png"/><Relationship Id="rId1" Type="http://schemas.openxmlformats.org/officeDocument/2006/relationships/image" Target="../media/image4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5.png"/><Relationship Id="rId2" Type="http://schemas.openxmlformats.org/officeDocument/2006/relationships/image" Target="../media/image44.png"/><Relationship Id="rId1" Type="http://schemas.openxmlformats.org/officeDocument/2006/relationships/image" Target="../media/image43.png"/><Relationship Id="rId4" Type="http://schemas.openxmlformats.org/officeDocument/2006/relationships/image" Target="../media/image46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8.png"/><Relationship Id="rId1" Type="http://schemas.openxmlformats.org/officeDocument/2006/relationships/image" Target="../media/image4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</xdr:row>
      <xdr:rowOff>0</xdr:rowOff>
    </xdr:from>
    <xdr:to>
      <xdr:col>28</xdr:col>
      <xdr:colOff>446731</xdr:colOff>
      <xdr:row>30</xdr:row>
      <xdr:rowOff>35918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EE7CAE-6BC6-4567-A415-F8DA6A3056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120770</xdr:colOff>
      <xdr:row>3</xdr:row>
      <xdr:rowOff>89384</xdr:rowOff>
    </xdr:from>
    <xdr:to>
      <xdr:col>28</xdr:col>
      <xdr:colOff>369095</xdr:colOff>
      <xdr:row>13</xdr:row>
      <xdr:rowOff>144287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5082BE-2004-4269-A44C-28FBC6E29B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0</xdr:colOff>
      <xdr:row>3</xdr:row>
      <xdr:rowOff>0</xdr:rowOff>
    </xdr:from>
    <xdr:to>
      <xdr:col>42</xdr:col>
      <xdr:colOff>446731</xdr:colOff>
      <xdr:row>30</xdr:row>
      <xdr:rowOff>35918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66B450-9D43-4030-8064-5A74980162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132676</xdr:colOff>
      <xdr:row>3</xdr:row>
      <xdr:rowOff>17946</xdr:rowOff>
    </xdr:from>
    <xdr:to>
      <xdr:col>42</xdr:col>
      <xdr:colOff>381001</xdr:colOff>
      <xdr:row>13</xdr:row>
      <xdr:rowOff>72849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C13B442-5AA2-4A74-AA29-F23868B6DB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600076</xdr:colOff>
      <xdr:row>4</xdr:row>
      <xdr:rowOff>9526</xdr:rowOff>
    </xdr:from>
    <xdr:to>
      <xdr:col>22</xdr:col>
      <xdr:colOff>10424</xdr:colOff>
      <xdr:row>17</xdr:row>
      <xdr:rowOff>28576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02F978-52E5-4B73-B686-B279D9D80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5676" y="695326"/>
          <a:ext cx="6115948" cy="22479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590550</xdr:colOff>
      <xdr:row>4</xdr:row>
      <xdr:rowOff>19050</xdr:rowOff>
    </xdr:from>
    <xdr:to>
      <xdr:col>11</xdr:col>
      <xdr:colOff>38100</xdr:colOff>
      <xdr:row>17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B54609-06B9-4CEC-A26D-69217DB30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704850"/>
          <a:ext cx="6153150" cy="223837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3</xdr:row>
      <xdr:rowOff>9525</xdr:rowOff>
    </xdr:from>
    <xdr:to>
      <xdr:col>10</xdr:col>
      <xdr:colOff>342900</xdr:colOff>
      <xdr:row>18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88D613-9161-49AE-A1BA-170A0C6EA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" y="533400"/>
          <a:ext cx="5857875" cy="2695575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9525</xdr:colOff>
      <xdr:row>3</xdr:row>
      <xdr:rowOff>0</xdr:rowOff>
    </xdr:from>
    <xdr:to>
      <xdr:col>20</xdr:col>
      <xdr:colOff>381000</xdr:colOff>
      <xdr:row>18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E89361-E66C-46E4-AAF7-2A3C3C53D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5125" y="523875"/>
          <a:ext cx="5857875" cy="2695575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</xdr:row>
      <xdr:rowOff>0</xdr:rowOff>
    </xdr:from>
    <xdr:to>
      <xdr:col>20</xdr:col>
      <xdr:colOff>371475</xdr:colOff>
      <xdr:row>17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B1692C-8883-4085-B61E-56785C149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23850"/>
          <a:ext cx="5857875" cy="26955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10</xdr:col>
      <xdr:colOff>372364</xdr:colOff>
      <xdr:row>17</xdr:row>
      <xdr:rowOff>122916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48EEA1-0B2D-4BCC-94C9-E5F2262BC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323850"/>
          <a:ext cx="5858764" cy="269466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10</xdr:col>
      <xdr:colOff>371475</xdr:colOff>
      <xdr:row>35</xdr:row>
      <xdr:rowOff>123825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7193914-1330-43A4-A2B2-FC500C152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38500"/>
          <a:ext cx="5857875" cy="2695575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20</xdr:col>
      <xdr:colOff>371475</xdr:colOff>
      <xdr:row>35</xdr:row>
      <xdr:rowOff>123825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11E16CD-8505-4DD6-BB39-5E549D723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238500"/>
          <a:ext cx="5857875" cy="26955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10</xdr:col>
      <xdr:colOff>371475</xdr:colOff>
      <xdr:row>53</xdr:row>
      <xdr:rowOff>123825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64864D9-847D-4577-8A56-D2033A747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153150"/>
          <a:ext cx="5857875" cy="2695575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0</xdr:colOff>
      <xdr:row>38</xdr:row>
      <xdr:rowOff>0</xdr:rowOff>
    </xdr:from>
    <xdr:to>
      <xdr:col>20</xdr:col>
      <xdr:colOff>371475</xdr:colOff>
      <xdr:row>53</xdr:row>
      <xdr:rowOff>123825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0FB501E-C11D-4A89-BE0E-EAC659229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153150"/>
          <a:ext cx="5857875" cy="26955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10</xdr:col>
      <xdr:colOff>371475</xdr:colOff>
      <xdr:row>71</xdr:row>
      <xdr:rowOff>123825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65B63D5-E866-4DB5-806B-10F2A3E29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067800"/>
          <a:ext cx="5857875" cy="2695575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0</xdr:colOff>
      <xdr:row>56</xdr:row>
      <xdr:rowOff>0</xdr:rowOff>
    </xdr:from>
    <xdr:to>
      <xdr:col>20</xdr:col>
      <xdr:colOff>371475</xdr:colOff>
      <xdr:row>71</xdr:row>
      <xdr:rowOff>123825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368E1D9-5F7E-4C13-A39F-F56CD4EE1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067800"/>
          <a:ext cx="5857875" cy="26955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10</xdr:col>
      <xdr:colOff>371475</xdr:colOff>
      <xdr:row>89</xdr:row>
      <xdr:rowOff>123825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48F6BE9-FE7D-4C8D-AABD-AB36AF0AA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982450"/>
          <a:ext cx="5857875" cy="2695575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0</xdr:colOff>
      <xdr:row>74</xdr:row>
      <xdr:rowOff>0</xdr:rowOff>
    </xdr:from>
    <xdr:to>
      <xdr:col>20</xdr:col>
      <xdr:colOff>371475</xdr:colOff>
      <xdr:row>89</xdr:row>
      <xdr:rowOff>123825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D68F840-7F8A-49F3-81AB-D315F167B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982450"/>
          <a:ext cx="5857875" cy="26955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10</xdr:col>
      <xdr:colOff>371475</xdr:colOff>
      <xdr:row>107</xdr:row>
      <xdr:rowOff>123825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3D39198-ED96-46B1-96EB-53D00F84C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897100"/>
          <a:ext cx="5857875" cy="2695575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0</xdr:colOff>
      <xdr:row>92</xdr:row>
      <xdr:rowOff>0</xdr:rowOff>
    </xdr:from>
    <xdr:to>
      <xdr:col>20</xdr:col>
      <xdr:colOff>371475</xdr:colOff>
      <xdr:row>107</xdr:row>
      <xdr:rowOff>123825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025D31-A72C-4C72-A3B2-A535815E9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897100"/>
          <a:ext cx="5857875" cy="26955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10</xdr:col>
      <xdr:colOff>371475</xdr:colOff>
      <xdr:row>125</xdr:row>
      <xdr:rowOff>123825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A769E3D-77D3-4FB3-83E9-81561AAC8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811750"/>
          <a:ext cx="5857875" cy="2695575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0</xdr:colOff>
      <xdr:row>110</xdr:row>
      <xdr:rowOff>0</xdr:rowOff>
    </xdr:from>
    <xdr:to>
      <xdr:col>20</xdr:col>
      <xdr:colOff>371475</xdr:colOff>
      <xdr:row>125</xdr:row>
      <xdr:rowOff>123825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A946663-4AEE-4043-95D2-522F1B8DB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811750"/>
          <a:ext cx="5857875" cy="26955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10</xdr:col>
      <xdr:colOff>371475</xdr:colOff>
      <xdr:row>143</xdr:row>
      <xdr:rowOff>123825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F84FDC1-CD6A-4ECB-BE7B-AB580C3A3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726400"/>
          <a:ext cx="5857875" cy="2695575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0</xdr:colOff>
      <xdr:row>128</xdr:row>
      <xdr:rowOff>0</xdr:rowOff>
    </xdr:from>
    <xdr:to>
      <xdr:col>20</xdr:col>
      <xdr:colOff>371475</xdr:colOff>
      <xdr:row>143</xdr:row>
      <xdr:rowOff>123825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8C84F25-341A-4D35-95E5-51D79BAD3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0726400"/>
          <a:ext cx="5857875" cy="26955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10</xdr:col>
      <xdr:colOff>371475</xdr:colOff>
      <xdr:row>161</xdr:row>
      <xdr:rowOff>123825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9482ABB-EEE9-4EE5-952F-D95D6F5F1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641050"/>
          <a:ext cx="5857875" cy="2695575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0</xdr:colOff>
      <xdr:row>146</xdr:row>
      <xdr:rowOff>0</xdr:rowOff>
    </xdr:from>
    <xdr:to>
      <xdr:col>20</xdr:col>
      <xdr:colOff>371475</xdr:colOff>
      <xdr:row>161</xdr:row>
      <xdr:rowOff>123825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31CD79F-7174-4E94-8AC7-E189C61CD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3641050"/>
          <a:ext cx="5857875" cy="2695575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19050</xdr:rowOff>
    </xdr:from>
    <xdr:to>
      <xdr:col>10</xdr:col>
      <xdr:colOff>371475</xdr:colOff>
      <xdr:row>17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403E02-D1C9-4D38-9C62-94475198C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2900"/>
          <a:ext cx="5857875" cy="2695575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9525</xdr:colOff>
      <xdr:row>2</xdr:row>
      <xdr:rowOff>28575</xdr:rowOff>
    </xdr:from>
    <xdr:to>
      <xdr:col>20</xdr:col>
      <xdr:colOff>381000</xdr:colOff>
      <xdr:row>17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A61AA9-0E7A-41A3-8FD0-BBD6B3865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5125" y="352425"/>
          <a:ext cx="5857875" cy="26955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10</xdr:col>
      <xdr:colOff>371475</xdr:colOff>
      <xdr:row>35</xdr:row>
      <xdr:rowOff>123825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7094BE1-B031-4503-BD0D-286DF5C19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38500"/>
          <a:ext cx="5857875" cy="2695575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20</xdr:col>
      <xdr:colOff>371475</xdr:colOff>
      <xdr:row>35</xdr:row>
      <xdr:rowOff>123825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E8544AA-B484-469F-8AC6-DB5AE4169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238500"/>
          <a:ext cx="5857875" cy="26955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10</xdr:col>
      <xdr:colOff>371475</xdr:colOff>
      <xdr:row>53</xdr:row>
      <xdr:rowOff>123825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C6AEEEA-2D9D-4F0A-ACC4-8D9567BBB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153150"/>
          <a:ext cx="5857875" cy="2695575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0</xdr:colOff>
      <xdr:row>38</xdr:row>
      <xdr:rowOff>0</xdr:rowOff>
    </xdr:from>
    <xdr:to>
      <xdr:col>20</xdr:col>
      <xdr:colOff>371475</xdr:colOff>
      <xdr:row>53</xdr:row>
      <xdr:rowOff>123825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5462BC9-4C3B-4152-995A-FECDDC9C1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153150"/>
          <a:ext cx="5857875" cy="26955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10</xdr:col>
      <xdr:colOff>371475</xdr:colOff>
      <xdr:row>71</xdr:row>
      <xdr:rowOff>123825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3F745D9-38E3-4045-866D-F2052D242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067800"/>
          <a:ext cx="5857875" cy="2695575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0</xdr:colOff>
      <xdr:row>56</xdr:row>
      <xdr:rowOff>0</xdr:rowOff>
    </xdr:from>
    <xdr:to>
      <xdr:col>20</xdr:col>
      <xdr:colOff>371475</xdr:colOff>
      <xdr:row>71</xdr:row>
      <xdr:rowOff>123825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5B8BBF9-78D4-4D3C-AB01-F9B4FD39B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067800"/>
          <a:ext cx="5857875" cy="26955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10</xdr:col>
      <xdr:colOff>371475</xdr:colOff>
      <xdr:row>89</xdr:row>
      <xdr:rowOff>123825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3D44494-D11C-45BA-94A5-434A0D60B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982450"/>
          <a:ext cx="5857875" cy="2695575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0</xdr:colOff>
      <xdr:row>74</xdr:row>
      <xdr:rowOff>0</xdr:rowOff>
    </xdr:from>
    <xdr:to>
      <xdr:col>20</xdr:col>
      <xdr:colOff>371475</xdr:colOff>
      <xdr:row>89</xdr:row>
      <xdr:rowOff>123825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F89083-45E5-4A67-BDCB-4D8B3D4CF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982450"/>
          <a:ext cx="5857875" cy="26955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10</xdr:col>
      <xdr:colOff>371475</xdr:colOff>
      <xdr:row>107</xdr:row>
      <xdr:rowOff>123825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4DB221C-F0F4-4A4F-8A3A-A17C923AF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897100"/>
          <a:ext cx="5857875" cy="2695575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0</xdr:colOff>
      <xdr:row>92</xdr:row>
      <xdr:rowOff>0</xdr:rowOff>
    </xdr:from>
    <xdr:to>
      <xdr:col>20</xdr:col>
      <xdr:colOff>371475</xdr:colOff>
      <xdr:row>107</xdr:row>
      <xdr:rowOff>123825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F46CDCA-6788-4289-8370-5766F5512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897100"/>
          <a:ext cx="5857875" cy="26955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10</xdr:col>
      <xdr:colOff>371475</xdr:colOff>
      <xdr:row>125</xdr:row>
      <xdr:rowOff>123825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80C2B16-8154-4968-9333-EB41045FE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811750"/>
          <a:ext cx="5857875" cy="2695575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0</xdr:colOff>
      <xdr:row>110</xdr:row>
      <xdr:rowOff>0</xdr:rowOff>
    </xdr:from>
    <xdr:to>
      <xdr:col>20</xdr:col>
      <xdr:colOff>371475</xdr:colOff>
      <xdr:row>125</xdr:row>
      <xdr:rowOff>123825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71911D9-41B9-40C6-A2ED-3F93CF725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811750"/>
          <a:ext cx="5857875" cy="26955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10</xdr:col>
      <xdr:colOff>371475</xdr:colOff>
      <xdr:row>143</xdr:row>
      <xdr:rowOff>123825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C037534-D415-480B-9A48-A034996AE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726400"/>
          <a:ext cx="5857875" cy="2695575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0</xdr:colOff>
      <xdr:row>128</xdr:row>
      <xdr:rowOff>0</xdr:rowOff>
    </xdr:from>
    <xdr:to>
      <xdr:col>20</xdr:col>
      <xdr:colOff>371475</xdr:colOff>
      <xdr:row>143</xdr:row>
      <xdr:rowOff>123825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F834F69-E955-4A10-9473-D55B6E10F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0726400"/>
          <a:ext cx="5857875" cy="26955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10</xdr:col>
      <xdr:colOff>371475</xdr:colOff>
      <xdr:row>161</xdr:row>
      <xdr:rowOff>123825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87CA2B1-4CCE-42D0-9BDB-4DF64C0BD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641050"/>
          <a:ext cx="5857875" cy="2695575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0</xdr:colOff>
      <xdr:row>146</xdr:row>
      <xdr:rowOff>0</xdr:rowOff>
    </xdr:from>
    <xdr:to>
      <xdr:col>20</xdr:col>
      <xdr:colOff>371475</xdr:colOff>
      <xdr:row>161</xdr:row>
      <xdr:rowOff>123825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7BF71AC-64CE-4224-86B6-6C9D55D99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3641050"/>
          <a:ext cx="5857875" cy="2695575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10</xdr:col>
      <xdr:colOff>371475</xdr:colOff>
      <xdr:row>18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49C20A-931D-4A3F-B4AD-B99C380C3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3875"/>
          <a:ext cx="5857875" cy="2695575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20</xdr:col>
      <xdr:colOff>371475</xdr:colOff>
      <xdr:row>18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2819FE-2F2E-4195-95CD-32F58B864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23875"/>
          <a:ext cx="5857875" cy="2695575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2</xdr:row>
      <xdr:rowOff>152400</xdr:rowOff>
    </xdr:from>
    <xdr:to>
      <xdr:col>9</xdr:col>
      <xdr:colOff>95250</xdr:colOff>
      <xdr:row>18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F1D158-6EF5-4F7D-BAAB-C6C7C8681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514350"/>
          <a:ext cx="4962525" cy="269557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590550</xdr:colOff>
      <xdr:row>3</xdr:row>
      <xdr:rowOff>0</xdr:rowOff>
    </xdr:from>
    <xdr:to>
      <xdr:col>17</xdr:col>
      <xdr:colOff>581025</xdr:colOff>
      <xdr:row>18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41D55E-76B7-4C18-B47A-D8164768D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6950" y="523875"/>
          <a:ext cx="4867275" cy="26955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23</xdr:row>
      <xdr:rowOff>47625</xdr:rowOff>
    </xdr:from>
    <xdr:to>
      <xdr:col>11</xdr:col>
      <xdr:colOff>400050</xdr:colOff>
      <xdr:row>39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893B69A-E85A-4FEE-8E2C-0FBCDA2A1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09600" y="3848100"/>
          <a:ext cx="6496050" cy="2695575"/>
        </a:xfrm>
        <a:prstGeom prst="rect">
          <a:avLst/>
        </a:prstGeom>
        <a:noFill/>
      </xdr:spPr>
    </xdr:pic>
    <xdr:clientData/>
  </xdr:twoCellAnchor>
  <xdr:twoCellAnchor editAs="oneCell">
    <xdr:from>
      <xdr:col>12</xdr:col>
      <xdr:colOff>0</xdr:colOff>
      <xdr:row>23</xdr:row>
      <xdr:rowOff>28575</xdr:rowOff>
    </xdr:from>
    <xdr:to>
      <xdr:col>22</xdr:col>
      <xdr:colOff>400050</xdr:colOff>
      <xdr:row>38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487121-30A7-4F67-8048-7F347A6B3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315200" y="3829050"/>
          <a:ext cx="6496050" cy="2695575"/>
        </a:xfrm>
        <a:prstGeom prst="rect">
          <a:avLst/>
        </a:prstGeom>
        <a:noFill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3</xdr:row>
      <xdr:rowOff>28575</xdr:rowOff>
    </xdr:from>
    <xdr:to>
      <xdr:col>10</xdr:col>
      <xdr:colOff>361950</xdr:colOff>
      <xdr:row>18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B114A4-A1E2-4B5A-9517-B043421BB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552450"/>
          <a:ext cx="5857875" cy="2695575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19050</xdr:colOff>
      <xdr:row>3</xdr:row>
      <xdr:rowOff>19050</xdr:rowOff>
    </xdr:from>
    <xdr:to>
      <xdr:col>20</xdr:col>
      <xdr:colOff>390525</xdr:colOff>
      <xdr:row>18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E4ACE4-4A43-4871-B2A9-48F58DE83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4650" y="542925"/>
          <a:ext cx="5857875" cy="2695575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lemiss-my.sharepoint.com/personal/oeriakha_olemiss_edu/Documents/Desktop/Alfred's%20thesis%20post%20proposal/Minichal/Journal_Submissions/Alfred_Minichal_07_16_24.xlsx" TargetMode="External"/><Relationship Id="rId1" Type="http://schemas.openxmlformats.org/officeDocument/2006/relationships/externalLinkPath" Target="https://olemiss-my.sharepoint.com/personal/oeriakha_olemiss_edu/Documents/Desktop/Alfred's%20thesis%20post%20proposal/Minichal/Journal_Submissions/Alfred_Minichal_07_16_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nichal Items"/>
      <sheetName val="Items Descriptives"/>
      <sheetName val="Correlation matrices"/>
      <sheetName val="CFA_IFA(WLSMV)_Fit_Indices"/>
      <sheetName val="Mod_CFA Param_est"/>
      <sheetName val="Mod_IFA_IRT(FIML)_Param_est"/>
      <sheetName val="Race_Measurement_Invariance"/>
      <sheetName val="Sex_Measurement_Invariance"/>
      <sheetName val="Discrim and Diff plots"/>
      <sheetName val="Test_Information"/>
      <sheetName val="Combined_Item_Information"/>
      <sheetName val="Individual_Item_Information"/>
      <sheetName val="Category_information"/>
      <sheetName val="Reliability plots"/>
      <sheetName val="CFA_Factor scores_distribution"/>
      <sheetName val="IFA_Factor scores_distribu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J1" t="str">
            <v>b1: 0/123
 &gt; No, not at all</v>
          </cell>
          <cell r="K1" t="str">
            <v>b2: 01/23
 &gt; Yes, a little</v>
          </cell>
          <cell r="L1" t="str">
            <v>b3: 012/3
 &gt; Yes, a moderate amount</v>
          </cell>
        </row>
        <row r="2">
          <cell r="I2" t="str">
            <v>1 (Q54)</v>
          </cell>
          <cell r="J2">
            <v>0.94986245158798055</v>
          </cell>
          <cell r="K2">
            <v>-0.69975774406972457</v>
          </cell>
          <cell r="L2">
            <v>-1.4364646852924006</v>
          </cell>
          <cell r="M2">
            <v>1.4055342200000001</v>
          </cell>
        </row>
        <row r="3">
          <cell r="I3" t="str">
            <v>2 (Q55)</v>
          </cell>
          <cell r="J3">
            <v>4.3253354114516536E-2</v>
          </cell>
          <cell r="K3">
            <v>-0.91113185088146276</v>
          </cell>
          <cell r="L3">
            <v>-1.6735150490789688</v>
          </cell>
          <cell r="M3">
            <v>3.2389301100000001</v>
          </cell>
        </row>
        <row r="4">
          <cell r="I4" t="str">
            <v>3 (Q56)</v>
          </cell>
          <cell r="J4">
            <v>-1.1091657189242762E-2</v>
          </cell>
          <cell r="K4">
            <v>-0.93197789125855457</v>
          </cell>
          <cell r="L4">
            <v>-1.6467588433266473</v>
          </cell>
          <cell r="M4">
            <v>3.3278294100000001</v>
          </cell>
        </row>
        <row r="5">
          <cell r="I5" t="str">
            <v>4 (Q57)</v>
          </cell>
          <cell r="J5">
            <v>0.32208806677765062</v>
          </cell>
          <cell r="K5">
            <v>-0.58263799937570326</v>
          </cell>
          <cell r="L5">
            <v>-1.1787258546768604</v>
          </cell>
          <cell r="M5">
            <v>2.36461269</v>
          </cell>
        </row>
        <row r="6">
          <cell r="I6" t="str">
            <v>5 (Q58)</v>
          </cell>
          <cell r="J6">
            <v>4.2632080214535031E-2</v>
          </cell>
          <cell r="K6">
            <v>-0.87170244664696217</v>
          </cell>
          <cell r="L6">
            <v>-1.5935042808070661</v>
          </cell>
          <cell r="M6">
            <v>2.51630705</v>
          </cell>
        </row>
        <row r="7">
          <cell r="I7" t="str">
            <v>6 (Q59)</v>
          </cell>
          <cell r="J7">
            <v>0.81507099916084269</v>
          </cell>
          <cell r="K7">
            <v>-0.22280133054974374</v>
          </cell>
          <cell r="L7">
            <v>-0.83134550992154999</v>
          </cell>
          <cell r="M7">
            <v>3.84867084</v>
          </cell>
        </row>
        <row r="8">
          <cell r="I8" t="str">
            <v>7 (Q60)</v>
          </cell>
          <cell r="J8">
            <v>0.55538772080831156</v>
          </cell>
          <cell r="K8">
            <v>-0.29548054406508051</v>
          </cell>
          <cell r="L8">
            <v>-0.83763596743828583</v>
          </cell>
          <cell r="M8">
            <v>4.3629324599999997</v>
          </cell>
        </row>
        <row r="9">
          <cell r="I9" t="str">
            <v>8 (Q61)</v>
          </cell>
          <cell r="J9">
            <v>0.26496176166437541</v>
          </cell>
          <cell r="K9">
            <v>-0.51365876000571131</v>
          </cell>
          <cell r="L9">
            <v>-1.1663227543034411</v>
          </cell>
          <cell r="M9">
            <v>3.7646199199999999</v>
          </cell>
        </row>
        <row r="10">
          <cell r="I10" t="str">
            <v>9 (Q62)</v>
          </cell>
          <cell r="J10">
            <v>1.0522335706156913</v>
          </cell>
          <cell r="K10">
            <v>-0.57893978323990325</v>
          </cell>
          <cell r="L10">
            <v>-1.5090444834528325</v>
          </cell>
          <cell r="M10">
            <v>1.8549742600000001</v>
          </cell>
        </row>
        <row r="11">
          <cell r="I11" t="str">
            <v>10 (Q63)</v>
          </cell>
          <cell r="J11">
            <v>-0.42101506581564502</v>
          </cell>
          <cell r="K11">
            <v>-3.9133423092629385</v>
          </cell>
          <cell r="L11">
            <v>-5.9993890572372743</v>
          </cell>
          <cell r="M11">
            <v>0.68179381999999999</v>
          </cell>
        </row>
        <row r="12">
          <cell r="I12" t="str">
            <v>11 (Q64)</v>
          </cell>
          <cell r="J12">
            <v>-0.52676633825969099</v>
          </cell>
          <cell r="K12">
            <v>-1.3735172937111222</v>
          </cell>
          <cell r="L12">
            <v>-2.0447481336752062</v>
          </cell>
          <cell r="M12">
            <v>2.8782650900000002</v>
          </cell>
        </row>
        <row r="13">
          <cell r="I13" t="str">
            <v>12 (Q65)</v>
          </cell>
          <cell r="J13">
            <v>-0.90852220098968461</v>
          </cell>
          <cell r="K13">
            <v>-1.8927024972022513</v>
          </cell>
          <cell r="L13">
            <v>-2.6594547297070723</v>
          </cell>
          <cell r="M13">
            <v>1.5080784899999999</v>
          </cell>
        </row>
        <row r="14">
          <cell r="I14" t="str">
            <v>13 (Q66)</v>
          </cell>
          <cell r="J14">
            <v>-0.62560534455894734</v>
          </cell>
          <cell r="K14">
            <v>-2.0570277405987163</v>
          </cell>
          <cell r="L14">
            <v>-3.1978623764926679</v>
          </cell>
          <cell r="M14">
            <v>1.2885388799999999</v>
          </cell>
        </row>
        <row r="15">
          <cell r="I15" t="str">
            <v>14 (Q67)</v>
          </cell>
          <cell r="J15">
            <v>-2.1082500844799203E-2</v>
          </cell>
          <cell r="K15">
            <v>-1.4833897835270886</v>
          </cell>
          <cell r="L15">
            <v>-2.2777290733421292</v>
          </cell>
          <cell r="M15">
            <v>1.6993387200000001</v>
          </cell>
        </row>
        <row r="16">
          <cell r="I16" t="str">
            <v>15 (Q68)</v>
          </cell>
          <cell r="J16">
            <v>-0.78241535037426657</v>
          </cell>
          <cell r="K16">
            <v>-1.9868190749745993</v>
          </cell>
          <cell r="L16">
            <v>-2.8526199327047235</v>
          </cell>
          <cell r="M16">
            <v>2.14874813</v>
          </cell>
        </row>
        <row r="17">
          <cell r="I17" t="str">
            <v>16 (Q69)</v>
          </cell>
          <cell r="J17">
            <v>-0.2149572531691413</v>
          </cell>
          <cell r="K17">
            <v>-1.3825570654083277</v>
          </cell>
          <cell r="L17">
            <v>-2.1928611130458582</v>
          </cell>
          <cell r="M17">
            <v>1.9554666000000001</v>
          </cell>
        </row>
        <row r="18">
          <cell r="I18" t="str">
            <v>9 (Q62)</v>
          </cell>
          <cell r="J18">
            <v>2.4596417066990717</v>
          </cell>
          <cell r="K18">
            <v>-1.3532969069699734</v>
          </cell>
          <cell r="L18">
            <v>-3.5274570707651143</v>
          </cell>
          <cell r="M18">
            <v>0.79355712</v>
          </cell>
        </row>
        <row r="19">
          <cell r="I19" t="str">
            <v>10 (Q63)</v>
          </cell>
          <cell r="J19">
            <v>-0.17310232428921682</v>
          </cell>
          <cell r="K19">
            <v>-1.608989094393527</v>
          </cell>
          <cell r="L19">
            <v>-2.4666770252298043</v>
          </cell>
          <cell r="M19">
            <v>1.6582415699999999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41200-DDCF-4760-910B-B8D87534659B}">
  <dimension ref="H6:M26"/>
  <sheetViews>
    <sheetView topLeftCell="C7" workbookViewId="0">
      <selection activeCell="J13" sqref="J13:M13"/>
    </sheetView>
  </sheetViews>
  <sheetFormatPr defaultRowHeight="13.5" x14ac:dyDescent="0.25"/>
  <cols>
    <col min="1" max="7" width="9.140625" style="1"/>
    <col min="8" max="8" width="9.28515625" style="1" bestFit="1" customWidth="1"/>
    <col min="9" max="9" width="76.28515625" style="1" bestFit="1" customWidth="1"/>
    <col min="10" max="10" width="10.7109375" style="1" bestFit="1" customWidth="1"/>
    <col min="11" max="11" width="9.7109375" style="1" bestFit="1" customWidth="1"/>
    <col min="12" max="12" width="8.140625" style="1" bestFit="1" customWidth="1"/>
    <col min="13" max="13" width="8" style="1" bestFit="1" customWidth="1"/>
    <col min="14" max="20" width="9.140625" style="1"/>
    <col min="21" max="21" width="7.85546875" style="1" bestFit="1" customWidth="1"/>
    <col min="22" max="22" width="70" style="1" bestFit="1" customWidth="1"/>
    <col min="23" max="16384" width="9.140625" style="1"/>
  </cols>
  <sheetData>
    <row r="6" spans="8:13" x14ac:dyDescent="0.25">
      <c r="I6" s="2"/>
    </row>
    <row r="7" spans="8:13" ht="15.75" x14ac:dyDescent="0.25">
      <c r="H7" s="3" t="s">
        <v>0</v>
      </c>
      <c r="I7" s="3"/>
      <c r="J7" s="4"/>
      <c r="K7" s="4"/>
      <c r="L7" s="4"/>
      <c r="M7" s="4"/>
    </row>
    <row r="8" spans="8:13" ht="15.75" x14ac:dyDescent="0.25">
      <c r="H8" s="5"/>
      <c r="I8" s="6" t="s">
        <v>1</v>
      </c>
      <c r="J8" s="2"/>
      <c r="K8" s="2"/>
      <c r="L8" s="7"/>
      <c r="M8" s="7"/>
    </row>
    <row r="9" spans="8:13" ht="15.75" x14ac:dyDescent="0.25">
      <c r="H9" s="5"/>
      <c r="I9" s="8" t="s">
        <v>2</v>
      </c>
      <c r="J9" s="4"/>
      <c r="K9" s="4"/>
      <c r="L9" s="4"/>
      <c r="M9" s="4"/>
    </row>
    <row r="10" spans="8:13" ht="15.75" x14ac:dyDescent="0.25">
      <c r="H10" s="9" t="s">
        <v>3</v>
      </c>
      <c r="I10" s="10" t="s">
        <v>4</v>
      </c>
      <c r="J10" s="4"/>
      <c r="K10" s="4"/>
      <c r="L10" s="4"/>
      <c r="M10" s="4"/>
    </row>
    <row r="11" spans="8:13" ht="15.75" x14ac:dyDescent="0.25">
      <c r="H11" s="5" t="s">
        <v>5</v>
      </c>
      <c r="I11" s="5" t="s">
        <v>6</v>
      </c>
      <c r="J11" s="4"/>
      <c r="K11" s="4"/>
      <c r="L11" s="4"/>
      <c r="M11" s="4"/>
    </row>
    <row r="12" spans="8:13" ht="15.75" x14ac:dyDescent="0.25">
      <c r="H12" s="5" t="s">
        <v>7</v>
      </c>
      <c r="I12" s="5" t="s">
        <v>8</v>
      </c>
      <c r="J12" s="4"/>
      <c r="K12" s="4"/>
      <c r="L12" s="4"/>
      <c r="M12" s="4"/>
    </row>
    <row r="13" spans="8:13" ht="15.75" x14ac:dyDescent="0.25">
      <c r="H13" s="5" t="s">
        <v>9</v>
      </c>
      <c r="I13" s="5" t="s">
        <v>10</v>
      </c>
      <c r="J13" s="4"/>
      <c r="K13" s="4"/>
      <c r="L13" s="4"/>
      <c r="M13" s="4"/>
    </row>
    <row r="14" spans="8:13" ht="15.75" x14ac:dyDescent="0.25">
      <c r="H14" s="5" t="s">
        <v>11</v>
      </c>
      <c r="I14" s="5" t="s">
        <v>12</v>
      </c>
      <c r="J14" s="4"/>
      <c r="K14" s="4"/>
      <c r="L14" s="4"/>
      <c r="M14" s="4"/>
    </row>
    <row r="15" spans="8:13" ht="15.75" x14ac:dyDescent="0.25">
      <c r="H15" s="5" t="s">
        <v>13</v>
      </c>
      <c r="I15" s="5" t="s">
        <v>14</v>
      </c>
      <c r="J15" s="4"/>
      <c r="K15" s="4"/>
      <c r="L15" s="4"/>
      <c r="M15" s="4"/>
    </row>
    <row r="16" spans="8:13" ht="15.75" x14ac:dyDescent="0.25">
      <c r="H16" s="5" t="s">
        <v>15</v>
      </c>
      <c r="I16" s="5" t="s">
        <v>16</v>
      </c>
      <c r="J16" s="4"/>
      <c r="K16" s="4"/>
      <c r="L16" s="4"/>
      <c r="M16" s="4"/>
    </row>
    <row r="17" spans="8:13" ht="15.75" x14ac:dyDescent="0.25">
      <c r="H17" s="5" t="s">
        <v>17</v>
      </c>
      <c r="I17" s="5" t="s">
        <v>18</v>
      </c>
      <c r="J17" s="4"/>
      <c r="K17" s="4"/>
      <c r="L17" s="4"/>
      <c r="M17" s="4"/>
    </row>
    <row r="18" spans="8:13" ht="15.75" x14ac:dyDescent="0.25">
      <c r="H18" s="5" t="s">
        <v>19</v>
      </c>
      <c r="I18" s="5" t="s">
        <v>20</v>
      </c>
      <c r="J18" s="4"/>
      <c r="K18" s="4"/>
      <c r="L18" s="4"/>
      <c r="M18" s="4"/>
    </row>
    <row r="19" spans="8:13" ht="15.75" x14ac:dyDescent="0.25">
      <c r="H19" s="5" t="s">
        <v>21</v>
      </c>
      <c r="I19" s="5" t="s">
        <v>22</v>
      </c>
      <c r="J19" s="4"/>
      <c r="K19" s="4"/>
      <c r="L19" s="4"/>
      <c r="M19" s="4"/>
    </row>
    <row r="20" spans="8:13" ht="15.75" x14ac:dyDescent="0.25">
      <c r="H20" s="5" t="s">
        <v>23</v>
      </c>
      <c r="I20" s="5" t="s">
        <v>24</v>
      </c>
      <c r="J20" s="4"/>
      <c r="K20" s="4"/>
      <c r="L20" s="4"/>
      <c r="M20" s="4"/>
    </row>
    <row r="21" spans="8:13" ht="15.75" x14ac:dyDescent="0.25">
      <c r="H21" s="5" t="s">
        <v>25</v>
      </c>
      <c r="I21" s="5" t="s">
        <v>26</v>
      </c>
      <c r="J21" s="4"/>
      <c r="K21" s="4"/>
      <c r="L21" s="4"/>
      <c r="M21" s="4"/>
    </row>
    <row r="22" spans="8:13" ht="15.75" x14ac:dyDescent="0.25">
      <c r="H22" s="5" t="s">
        <v>27</v>
      </c>
      <c r="I22" s="5" t="s">
        <v>28</v>
      </c>
      <c r="J22" s="4"/>
      <c r="K22" s="4"/>
      <c r="L22" s="4"/>
      <c r="M22" s="4"/>
    </row>
    <row r="23" spans="8:13" ht="15.75" x14ac:dyDescent="0.25">
      <c r="H23" s="5" t="s">
        <v>29</v>
      </c>
      <c r="I23" s="5" t="s">
        <v>30</v>
      </c>
      <c r="J23" s="4"/>
      <c r="K23" s="4"/>
      <c r="L23" s="4"/>
      <c r="M23" s="4"/>
    </row>
    <row r="24" spans="8:13" ht="15.75" x14ac:dyDescent="0.25">
      <c r="H24" s="5" t="s">
        <v>31</v>
      </c>
      <c r="I24" s="5" t="s">
        <v>32</v>
      </c>
      <c r="J24" s="4"/>
      <c r="K24" s="4"/>
      <c r="L24" s="4"/>
      <c r="M24" s="4"/>
    </row>
    <row r="25" spans="8:13" ht="15.75" x14ac:dyDescent="0.25">
      <c r="H25" s="5" t="s">
        <v>33</v>
      </c>
      <c r="I25" s="5" t="s">
        <v>34</v>
      </c>
    </row>
    <row r="26" spans="8:13" ht="15.75" x14ac:dyDescent="0.25">
      <c r="H26" s="11" t="s">
        <v>35</v>
      </c>
      <c r="I26" s="11" t="s">
        <v>36</v>
      </c>
    </row>
  </sheetData>
  <mergeCells count="18">
    <mergeCell ref="J19:M19"/>
    <mergeCell ref="J20:M20"/>
    <mergeCell ref="J21:M21"/>
    <mergeCell ref="J22:M22"/>
    <mergeCell ref="J23:M23"/>
    <mergeCell ref="J24:M24"/>
    <mergeCell ref="J13:M13"/>
    <mergeCell ref="J14:M14"/>
    <mergeCell ref="J15:M15"/>
    <mergeCell ref="J16:M16"/>
    <mergeCell ref="J17:M17"/>
    <mergeCell ref="J18:M18"/>
    <mergeCell ref="H7:I7"/>
    <mergeCell ref="J7:M7"/>
    <mergeCell ref="J9:M9"/>
    <mergeCell ref="J10:M10"/>
    <mergeCell ref="J11:M11"/>
    <mergeCell ref="J12:M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1D388-3A41-494C-ADC6-732CD255E0C6}">
  <dimension ref="I5:R23"/>
  <sheetViews>
    <sheetView topLeftCell="F3" workbookViewId="0">
      <selection activeCell="V26" sqref="V26"/>
    </sheetView>
  </sheetViews>
  <sheetFormatPr defaultRowHeight="13.5" x14ac:dyDescent="0.25"/>
  <cols>
    <col min="1" max="8" width="9.140625" style="1"/>
    <col min="9" max="9" width="9.28515625" style="1" bestFit="1" customWidth="1"/>
    <col min="10" max="10" width="36.85546875" style="1" bestFit="1" customWidth="1"/>
    <col min="11" max="11" width="4.42578125" style="1" bestFit="1" customWidth="1"/>
    <col min="12" max="12" width="6.28515625" style="1" bestFit="1" customWidth="1"/>
    <col min="13" max="13" width="6.140625" style="1" bestFit="1" customWidth="1"/>
    <col min="14" max="14" width="8" style="1" bestFit="1" customWidth="1"/>
    <col min="15" max="15" width="11.140625" style="1" bestFit="1" customWidth="1"/>
    <col min="16" max="16" width="9.140625" style="1" bestFit="1" customWidth="1"/>
    <col min="17" max="17" width="21.140625" style="1" bestFit="1" customWidth="1"/>
    <col min="18" max="18" width="7.28515625" style="1" bestFit="1" customWidth="1"/>
    <col min="19" max="16384" width="9.140625" style="1"/>
  </cols>
  <sheetData>
    <row r="5" spans="9:18" ht="15.75" x14ac:dyDescent="0.25">
      <c r="I5" s="12" t="s">
        <v>37</v>
      </c>
      <c r="J5" s="12"/>
      <c r="K5" s="12"/>
      <c r="L5" s="12"/>
      <c r="M5" s="12"/>
      <c r="N5" s="12"/>
      <c r="O5" s="12"/>
      <c r="P5" s="12"/>
      <c r="Q5" s="12"/>
      <c r="R5" s="12"/>
    </row>
    <row r="6" spans="9:18" ht="15.75" x14ac:dyDescent="0.25">
      <c r="I6" s="13"/>
      <c r="J6" s="13"/>
      <c r="K6" s="14"/>
      <c r="L6" s="14"/>
      <c r="M6" s="14"/>
      <c r="N6" s="14"/>
      <c r="O6" s="15" t="s">
        <v>38</v>
      </c>
      <c r="P6" s="15"/>
      <c r="Q6" s="15"/>
      <c r="R6" s="15"/>
    </row>
    <row r="7" spans="9:18" ht="15.75" x14ac:dyDescent="0.25">
      <c r="I7" s="16" t="s">
        <v>39</v>
      </c>
      <c r="J7" s="16" t="s">
        <v>40</v>
      </c>
      <c r="K7" s="17" t="s">
        <v>41</v>
      </c>
      <c r="L7" s="17" t="s">
        <v>42</v>
      </c>
      <c r="M7" s="17" t="s">
        <v>43</v>
      </c>
      <c r="N7" s="17" t="s">
        <v>44</v>
      </c>
      <c r="O7" s="16" t="s">
        <v>45</v>
      </c>
      <c r="P7" s="16" t="s">
        <v>46</v>
      </c>
      <c r="Q7" s="16" t="s">
        <v>47</v>
      </c>
      <c r="R7" s="16" t="s">
        <v>48</v>
      </c>
    </row>
    <row r="8" spans="9:18" ht="15.75" x14ac:dyDescent="0.25">
      <c r="I8" s="5" t="s">
        <v>5</v>
      </c>
      <c r="J8" s="5" t="s">
        <v>49</v>
      </c>
      <c r="K8" s="18">
        <v>941</v>
      </c>
      <c r="L8" s="19">
        <v>2.2400000000000002</v>
      </c>
      <c r="M8" s="19">
        <v>1.04</v>
      </c>
      <c r="N8" s="19">
        <v>2</v>
      </c>
      <c r="O8" s="20">
        <v>0.26780019999999999</v>
      </c>
      <c r="P8" s="20">
        <v>0.40488839999999998</v>
      </c>
      <c r="Q8" s="20">
        <v>0.14665249999999999</v>
      </c>
      <c r="R8" s="20">
        <v>0.18065890000000001</v>
      </c>
    </row>
    <row r="9" spans="9:18" ht="15.75" x14ac:dyDescent="0.25">
      <c r="I9" s="5" t="s">
        <v>7</v>
      </c>
      <c r="J9" s="5" t="s">
        <v>50</v>
      </c>
      <c r="K9" s="18">
        <v>941</v>
      </c>
      <c r="L9" s="19">
        <v>1.87</v>
      </c>
      <c r="M9" s="19">
        <v>1.01</v>
      </c>
      <c r="N9" s="19">
        <v>2</v>
      </c>
      <c r="O9" s="20">
        <v>0.47927740000000002</v>
      </c>
      <c r="P9" s="20">
        <v>0.27523910000000001</v>
      </c>
      <c r="Q9" s="20">
        <v>0.14133899999999999</v>
      </c>
      <c r="R9" s="20">
        <v>0.1041445</v>
      </c>
    </row>
    <row r="10" spans="9:18" ht="15.75" x14ac:dyDescent="0.25">
      <c r="I10" s="5" t="s">
        <v>9</v>
      </c>
      <c r="J10" s="5" t="s">
        <v>51</v>
      </c>
      <c r="K10" s="18">
        <v>940</v>
      </c>
      <c r="L10" s="19">
        <v>1.84</v>
      </c>
      <c r="M10" s="19">
        <v>1.01</v>
      </c>
      <c r="N10" s="19">
        <v>2</v>
      </c>
      <c r="O10" s="20">
        <v>0.49787229999999999</v>
      </c>
      <c r="P10" s="20">
        <v>0.26702130000000002</v>
      </c>
      <c r="Q10" s="20">
        <v>0.1308511</v>
      </c>
      <c r="R10" s="20">
        <v>0.1042553</v>
      </c>
    </row>
    <row r="11" spans="9:18" ht="15.75" x14ac:dyDescent="0.25">
      <c r="I11" s="5" t="s">
        <v>11</v>
      </c>
      <c r="J11" s="5" t="s">
        <v>52</v>
      </c>
      <c r="K11" s="18">
        <v>941</v>
      </c>
      <c r="L11" s="19">
        <v>2.11</v>
      </c>
      <c r="M11" s="19">
        <v>1.1100000000000001</v>
      </c>
      <c r="N11" s="19">
        <v>2</v>
      </c>
      <c r="O11" s="20">
        <v>0.39001059999999999</v>
      </c>
      <c r="P11" s="20">
        <v>0.28799150000000001</v>
      </c>
      <c r="Q11" s="20">
        <v>0.14877789999999999</v>
      </c>
      <c r="R11" s="20">
        <v>0.17322000000000001</v>
      </c>
    </row>
    <row r="12" spans="9:18" ht="15.75" x14ac:dyDescent="0.25">
      <c r="I12" s="5" t="s">
        <v>13</v>
      </c>
      <c r="J12" s="5" t="s">
        <v>53</v>
      </c>
      <c r="K12" s="18">
        <v>941</v>
      </c>
      <c r="L12" s="19">
        <v>1.84</v>
      </c>
      <c r="M12" s="19">
        <v>0.99</v>
      </c>
      <c r="N12" s="19">
        <v>2</v>
      </c>
      <c r="O12" s="20">
        <v>0.48459086000000001</v>
      </c>
      <c r="P12" s="20">
        <v>0.28374070000000001</v>
      </c>
      <c r="Q12" s="20">
        <v>0.13602549999999999</v>
      </c>
      <c r="R12" s="20">
        <v>9.5642930000000001E-2</v>
      </c>
    </row>
    <row r="13" spans="9:18" ht="15.75" x14ac:dyDescent="0.25">
      <c r="I13" s="5" t="s">
        <v>15</v>
      </c>
      <c r="J13" s="5" t="s">
        <v>54</v>
      </c>
      <c r="K13" s="18">
        <v>941</v>
      </c>
      <c r="L13" s="19">
        <v>2.44</v>
      </c>
      <c r="M13" s="19">
        <v>1.1000000000000001</v>
      </c>
      <c r="N13" s="19">
        <v>2</v>
      </c>
      <c r="O13" s="20">
        <v>0.2348565</v>
      </c>
      <c r="P13" s="20">
        <v>0.33368759999999997</v>
      </c>
      <c r="Q13" s="20">
        <v>0.18916050000000001</v>
      </c>
      <c r="R13" s="20">
        <v>0.24229539999999999</v>
      </c>
    </row>
    <row r="14" spans="9:18" ht="15.75" x14ac:dyDescent="0.25">
      <c r="I14" s="5" t="s">
        <v>17</v>
      </c>
      <c r="J14" s="5" t="s">
        <v>55</v>
      </c>
      <c r="K14" s="18">
        <v>940</v>
      </c>
      <c r="L14" s="19">
        <v>2.33</v>
      </c>
      <c r="M14" s="19">
        <v>1.1399999999999999</v>
      </c>
      <c r="N14" s="19">
        <v>2</v>
      </c>
      <c r="O14" s="20">
        <v>0.3031915</v>
      </c>
      <c r="P14" s="20">
        <v>0.29574470000000003</v>
      </c>
      <c r="Q14" s="20">
        <v>0.16808509999999999</v>
      </c>
      <c r="R14" s="20">
        <v>0.23297870000000001</v>
      </c>
    </row>
    <row r="15" spans="9:18" ht="15.75" x14ac:dyDescent="0.25">
      <c r="I15" s="5" t="s">
        <v>19</v>
      </c>
      <c r="J15" s="5" t="s">
        <v>56</v>
      </c>
      <c r="K15" s="18">
        <v>941</v>
      </c>
      <c r="L15" s="19">
        <v>2.08</v>
      </c>
      <c r="M15" s="19">
        <v>1.08</v>
      </c>
      <c r="N15" s="19">
        <v>2</v>
      </c>
      <c r="O15" s="20">
        <v>0.39744950000000001</v>
      </c>
      <c r="P15" s="20">
        <v>0.27630179999999999</v>
      </c>
      <c r="Q15" s="20">
        <v>0.17747080000000001</v>
      </c>
      <c r="R15" s="20">
        <v>0.14877789999999999</v>
      </c>
    </row>
    <row r="16" spans="9:18" ht="15.75" x14ac:dyDescent="0.25">
      <c r="I16" s="5" t="s">
        <v>21</v>
      </c>
      <c r="J16" s="5" t="s">
        <v>57</v>
      </c>
      <c r="K16" s="18">
        <v>941</v>
      </c>
      <c r="L16" s="19">
        <v>2.2799999999999998</v>
      </c>
      <c r="M16" s="19">
        <v>1.04</v>
      </c>
      <c r="N16" s="19">
        <v>2</v>
      </c>
      <c r="O16" s="20">
        <v>0.25504779999999999</v>
      </c>
      <c r="P16" s="20">
        <v>0.38363439999999999</v>
      </c>
      <c r="Q16" s="20">
        <v>0.18278430000000001</v>
      </c>
      <c r="R16" s="20">
        <v>0.17853350000000001</v>
      </c>
    </row>
    <row r="17" spans="9:18" ht="15.75" x14ac:dyDescent="0.25">
      <c r="I17" s="5" t="s">
        <v>23</v>
      </c>
      <c r="J17" s="5" t="s">
        <v>58</v>
      </c>
      <c r="K17" s="18">
        <v>940</v>
      </c>
      <c r="L17" s="19">
        <v>1.7</v>
      </c>
      <c r="M17" s="19">
        <v>0.91</v>
      </c>
      <c r="N17" s="19">
        <v>1</v>
      </c>
      <c r="O17" s="20">
        <v>0.53936170000000005</v>
      </c>
      <c r="P17" s="20">
        <v>0.29468084999999999</v>
      </c>
      <c r="Q17" s="20">
        <v>9.2553189999999994E-2</v>
      </c>
      <c r="R17" s="20">
        <v>7.3404259999999999E-2</v>
      </c>
    </row>
    <row r="18" spans="9:18" ht="15.75" x14ac:dyDescent="0.25">
      <c r="I18" s="5" t="s">
        <v>25</v>
      </c>
      <c r="J18" s="5" t="s">
        <v>59</v>
      </c>
      <c r="K18" s="18">
        <v>941</v>
      </c>
      <c r="L18" s="19">
        <v>1.49</v>
      </c>
      <c r="M18" s="19">
        <v>0.81</v>
      </c>
      <c r="N18" s="19">
        <v>1</v>
      </c>
      <c r="O18" s="20">
        <v>0.67587673000000004</v>
      </c>
      <c r="P18" s="20">
        <v>0.20722635</v>
      </c>
      <c r="Q18" s="20">
        <v>7.2263549999999996E-2</v>
      </c>
      <c r="R18" s="20">
        <v>4.4633369999999999E-2</v>
      </c>
    </row>
    <row r="19" spans="9:18" ht="15.75" x14ac:dyDescent="0.25">
      <c r="I19" s="5" t="s">
        <v>27</v>
      </c>
      <c r="J19" s="5" t="s">
        <v>60</v>
      </c>
      <c r="K19" s="18">
        <v>939</v>
      </c>
      <c r="L19" s="19">
        <v>1.42</v>
      </c>
      <c r="M19" s="19">
        <v>0.8</v>
      </c>
      <c r="N19" s="19">
        <v>1</v>
      </c>
      <c r="O19" s="20">
        <v>0.73269435999999999</v>
      </c>
      <c r="P19" s="20">
        <v>0.16187433000000001</v>
      </c>
      <c r="Q19" s="20">
        <v>5.9637910000000002E-2</v>
      </c>
      <c r="R19" s="20">
        <v>4.5793399999999998E-2</v>
      </c>
    </row>
    <row r="20" spans="9:18" ht="15.75" x14ac:dyDescent="0.25">
      <c r="I20" s="5" t="s">
        <v>29</v>
      </c>
      <c r="J20" s="5" t="s">
        <v>61</v>
      </c>
      <c r="K20" s="18">
        <v>941</v>
      </c>
      <c r="L20" s="19">
        <v>1.5</v>
      </c>
      <c r="M20" s="19">
        <v>0.78</v>
      </c>
      <c r="N20" s="19">
        <v>1</v>
      </c>
      <c r="O20" s="20">
        <v>0.64824654999999998</v>
      </c>
      <c r="P20" s="20">
        <v>0.24123273000000001</v>
      </c>
      <c r="Q20" s="20">
        <v>7.6514349999999995E-2</v>
      </c>
      <c r="R20" s="20">
        <v>3.4006380000000003E-2</v>
      </c>
    </row>
    <row r="21" spans="9:18" ht="15.75" x14ac:dyDescent="0.25">
      <c r="I21" s="5" t="s">
        <v>31</v>
      </c>
      <c r="J21" s="5" t="s">
        <v>62</v>
      </c>
      <c r="K21" s="18">
        <v>941</v>
      </c>
      <c r="L21" s="19">
        <v>1.7</v>
      </c>
      <c r="M21" s="19">
        <v>0.87</v>
      </c>
      <c r="N21" s="19">
        <v>1</v>
      </c>
      <c r="O21" s="20">
        <v>0.50478215000000004</v>
      </c>
      <c r="P21" s="20">
        <v>0.34643995999999999</v>
      </c>
      <c r="Q21" s="20">
        <v>8.8204039999999997E-2</v>
      </c>
      <c r="R21" s="20">
        <v>6.057386E-2</v>
      </c>
    </row>
    <row r="22" spans="9:18" ht="15.75" x14ac:dyDescent="0.25">
      <c r="I22" s="5" t="s">
        <v>33</v>
      </c>
      <c r="J22" s="5" t="s">
        <v>63</v>
      </c>
      <c r="K22" s="18">
        <v>941</v>
      </c>
      <c r="L22" s="19">
        <v>1.35</v>
      </c>
      <c r="M22" s="19">
        <v>0.65</v>
      </c>
      <c r="N22" s="19">
        <v>1</v>
      </c>
      <c r="O22" s="20">
        <v>0.73326248999999999</v>
      </c>
      <c r="P22" s="20">
        <v>0.20510096</v>
      </c>
      <c r="Q22" s="20">
        <v>4.4633369999999999E-2</v>
      </c>
      <c r="R22" s="20">
        <v>1.7003190000000001E-2</v>
      </c>
    </row>
    <row r="23" spans="9:18" ht="15.75" x14ac:dyDescent="0.25">
      <c r="I23" s="11" t="s">
        <v>35</v>
      </c>
      <c r="J23" s="11" t="s">
        <v>64</v>
      </c>
      <c r="K23" s="21">
        <v>941</v>
      </c>
      <c r="L23" s="22">
        <v>1.64</v>
      </c>
      <c r="M23" s="22">
        <v>0.87</v>
      </c>
      <c r="N23" s="22">
        <v>1</v>
      </c>
      <c r="O23" s="23">
        <v>0.56323060999999996</v>
      </c>
      <c r="P23" s="23">
        <v>0.28586610000000001</v>
      </c>
      <c r="Q23" s="23">
        <v>9.4580230000000001E-2</v>
      </c>
      <c r="R23" s="23">
        <v>5.6323060000000001E-2</v>
      </c>
    </row>
  </sheetData>
  <mergeCells count="2">
    <mergeCell ref="I5:R5"/>
    <mergeCell ref="O6:R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F5718-7FA5-4971-98AE-B95EB16FE3A8}">
  <dimension ref="H1:AP45"/>
  <sheetViews>
    <sheetView topLeftCell="F1" workbookViewId="0">
      <selection activeCell="G20" sqref="G20"/>
    </sheetView>
  </sheetViews>
  <sheetFormatPr defaultColWidth="8.85546875" defaultRowHeight="15" x14ac:dyDescent="0.25"/>
  <cols>
    <col min="1" max="1" width="8.85546875" style="25"/>
    <col min="2" max="2" width="36.85546875" style="25" bestFit="1" customWidth="1"/>
    <col min="3" max="3" width="11" style="25" bestFit="1" customWidth="1"/>
    <col min="4" max="4" width="9" style="25" bestFit="1" customWidth="1"/>
    <col min="5" max="5" width="21" style="25" bestFit="1" customWidth="1"/>
    <col min="6" max="6" width="7.140625" style="25" bestFit="1" customWidth="1"/>
    <col min="7" max="7" width="8.85546875" style="25"/>
    <col min="8" max="8" width="7.85546875" style="25" bestFit="1" customWidth="1"/>
    <col min="9" max="17" width="6.85546875" style="25" bestFit="1" customWidth="1"/>
    <col min="18" max="23" width="7.85546875" style="25" bestFit="1" customWidth="1"/>
    <col min="24" max="16384" width="8.85546875" style="25"/>
  </cols>
  <sheetData>
    <row r="1" spans="8:42" ht="15.75" thickBot="1" x14ac:dyDescent="0.3">
      <c r="H1" s="24" t="s">
        <v>65</v>
      </c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Z1" s="24" t="s">
        <v>66</v>
      </c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</row>
    <row r="2" spans="8:42" x14ac:dyDescent="0.25">
      <c r="I2" s="26" t="s">
        <v>67</v>
      </c>
      <c r="J2" s="26" t="s">
        <v>68</v>
      </c>
      <c r="K2" s="25" t="s">
        <v>69</v>
      </c>
      <c r="L2" s="25" t="s">
        <v>70</v>
      </c>
      <c r="M2" s="25" t="s">
        <v>71</v>
      </c>
      <c r="N2" s="25" t="s">
        <v>72</v>
      </c>
      <c r="O2" s="25" t="s">
        <v>73</v>
      </c>
      <c r="P2" s="25" t="s">
        <v>74</v>
      </c>
      <c r="Q2" s="25" t="s">
        <v>75</v>
      </c>
      <c r="R2" s="25" t="s">
        <v>76</v>
      </c>
      <c r="S2" s="25" t="s">
        <v>77</v>
      </c>
      <c r="T2" s="25" t="s">
        <v>78</v>
      </c>
      <c r="U2" s="27" t="s">
        <v>79</v>
      </c>
      <c r="V2" s="27" t="s">
        <v>80</v>
      </c>
      <c r="W2" s="27" t="s">
        <v>81</v>
      </c>
      <c r="X2" s="27" t="s">
        <v>82</v>
      </c>
      <c r="AA2" s="26" t="s">
        <v>67</v>
      </c>
      <c r="AB2" s="26" t="s">
        <v>68</v>
      </c>
      <c r="AC2" s="25" t="s">
        <v>69</v>
      </c>
      <c r="AD2" s="25" t="s">
        <v>70</v>
      </c>
      <c r="AE2" s="25" t="s">
        <v>71</v>
      </c>
      <c r="AF2" s="25" t="s">
        <v>72</v>
      </c>
      <c r="AG2" s="25" t="s">
        <v>73</v>
      </c>
      <c r="AH2" s="25" t="s">
        <v>74</v>
      </c>
      <c r="AI2" s="25" t="s">
        <v>75</v>
      </c>
      <c r="AJ2" s="25" t="s">
        <v>76</v>
      </c>
      <c r="AK2" s="25" t="s">
        <v>77</v>
      </c>
      <c r="AL2" s="25" t="s">
        <v>78</v>
      </c>
      <c r="AM2" s="27" t="s">
        <v>79</v>
      </c>
      <c r="AN2" s="27" t="s">
        <v>80</v>
      </c>
      <c r="AO2" s="27" t="s">
        <v>81</v>
      </c>
      <c r="AP2" s="27" t="s">
        <v>82</v>
      </c>
    </row>
    <row r="3" spans="8:42" x14ac:dyDescent="0.25">
      <c r="H3" s="25" t="s">
        <v>67</v>
      </c>
      <c r="I3" s="26">
        <v>1</v>
      </c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Z3" s="25" t="s">
        <v>67</v>
      </c>
      <c r="AA3" s="26">
        <v>1</v>
      </c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</row>
    <row r="4" spans="8:42" x14ac:dyDescent="0.25">
      <c r="H4" s="25" t="s">
        <v>68</v>
      </c>
      <c r="I4" s="26">
        <v>0.56299999999999994</v>
      </c>
      <c r="J4" s="26">
        <v>1</v>
      </c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Z4" s="25" t="s">
        <v>68</v>
      </c>
      <c r="AA4" s="26">
        <v>0.48899999999999999</v>
      </c>
      <c r="AB4" s="26">
        <v>1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</row>
    <row r="5" spans="8:42" x14ac:dyDescent="0.25">
      <c r="H5" s="25" t="s">
        <v>69</v>
      </c>
      <c r="I5" s="26">
        <v>0.53</v>
      </c>
      <c r="J5" s="26">
        <v>0.82</v>
      </c>
      <c r="K5" s="26">
        <v>1</v>
      </c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Z5" s="25" t="s">
        <v>69</v>
      </c>
      <c r="AA5" s="26">
        <v>0.439</v>
      </c>
      <c r="AB5" s="26">
        <v>0.73499999999999999</v>
      </c>
      <c r="AC5" s="26">
        <v>1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</row>
    <row r="6" spans="8:42" x14ac:dyDescent="0.25">
      <c r="H6" s="25" t="s">
        <v>70</v>
      </c>
      <c r="I6" s="26">
        <v>0.49</v>
      </c>
      <c r="J6" s="26">
        <v>0.66700000000000004</v>
      </c>
      <c r="K6" s="26">
        <v>0.67600000000000005</v>
      </c>
      <c r="L6" s="26">
        <v>1</v>
      </c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Z6" s="25" t="s">
        <v>70</v>
      </c>
      <c r="AA6" s="26">
        <v>0.41299999999999998</v>
      </c>
      <c r="AB6" s="26">
        <v>0.56899999999999995</v>
      </c>
      <c r="AC6" s="26">
        <v>0.58099999999999996</v>
      </c>
      <c r="AD6" s="26">
        <v>1</v>
      </c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</row>
    <row r="7" spans="8:42" x14ac:dyDescent="0.25">
      <c r="H7" s="25" t="s">
        <v>71</v>
      </c>
      <c r="I7" s="26">
        <v>0.46200000000000002</v>
      </c>
      <c r="J7" s="26">
        <v>0.63900000000000001</v>
      </c>
      <c r="K7" s="26">
        <v>0.68799999999999994</v>
      </c>
      <c r="L7" s="26">
        <v>0.69299999999999995</v>
      </c>
      <c r="M7" s="26">
        <v>1</v>
      </c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Z7" s="25" t="s">
        <v>71</v>
      </c>
      <c r="AA7" s="26">
        <v>0.38</v>
      </c>
      <c r="AB7" s="26">
        <v>0.54400000000000004</v>
      </c>
      <c r="AC7" s="26">
        <v>0.59499999999999997</v>
      </c>
      <c r="AD7" s="26">
        <v>0.60199999999999998</v>
      </c>
      <c r="AE7" s="26">
        <v>1</v>
      </c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</row>
    <row r="8" spans="8:42" x14ac:dyDescent="0.25">
      <c r="H8" s="25" t="s">
        <v>72</v>
      </c>
      <c r="I8" s="26">
        <v>0.53300000000000003</v>
      </c>
      <c r="J8" s="26">
        <v>0.62</v>
      </c>
      <c r="K8" s="26">
        <v>0.61399999999999999</v>
      </c>
      <c r="L8" s="26">
        <v>0.66400000000000003</v>
      </c>
      <c r="M8" s="26">
        <v>0.70399999999999996</v>
      </c>
      <c r="N8" s="26">
        <v>1</v>
      </c>
      <c r="O8" s="26"/>
      <c r="P8" s="26"/>
      <c r="Q8" s="26"/>
      <c r="R8" s="26"/>
      <c r="S8" s="26"/>
      <c r="T8" s="26"/>
      <c r="U8" s="26"/>
      <c r="V8" s="26"/>
      <c r="W8" s="26"/>
      <c r="X8" s="26"/>
      <c r="Z8" s="25" t="s">
        <v>72</v>
      </c>
      <c r="AA8" s="26">
        <v>0.45600000000000002</v>
      </c>
      <c r="AB8" s="26">
        <v>0.51900000000000002</v>
      </c>
      <c r="AC8" s="26">
        <v>0.51100000000000001</v>
      </c>
      <c r="AD8" s="26">
        <v>0.57499999999999996</v>
      </c>
      <c r="AE8" s="26">
        <v>0.59399999999999997</v>
      </c>
      <c r="AF8" s="26">
        <v>1</v>
      </c>
      <c r="AG8" s="26"/>
      <c r="AH8" s="26"/>
      <c r="AI8" s="26"/>
      <c r="AJ8" s="26"/>
      <c r="AK8" s="26"/>
      <c r="AL8" s="26"/>
      <c r="AM8" s="26"/>
      <c r="AN8" s="26"/>
      <c r="AO8" s="26"/>
      <c r="AP8" s="26"/>
    </row>
    <row r="9" spans="8:42" x14ac:dyDescent="0.25">
      <c r="H9" s="25" t="s">
        <v>73</v>
      </c>
      <c r="I9" s="26">
        <v>0.49199999999999999</v>
      </c>
      <c r="J9" s="26">
        <v>0.63900000000000001</v>
      </c>
      <c r="K9" s="26">
        <v>0.62</v>
      </c>
      <c r="L9" s="26">
        <v>0.71299999999999997</v>
      </c>
      <c r="M9" s="26">
        <v>0.69599999999999995</v>
      </c>
      <c r="N9" s="26">
        <v>0.85299999999999998</v>
      </c>
      <c r="O9" s="26">
        <v>1</v>
      </c>
      <c r="P9" s="26"/>
      <c r="Q9" s="26"/>
      <c r="R9" s="26"/>
      <c r="S9" s="26"/>
      <c r="T9" s="26"/>
      <c r="U9" s="26"/>
      <c r="V9" s="26"/>
      <c r="W9" s="26"/>
      <c r="X9" s="26"/>
      <c r="Z9" s="25" t="s">
        <v>73</v>
      </c>
      <c r="AA9" s="26">
        <v>0.42299999999999999</v>
      </c>
      <c r="AB9" s="26">
        <v>0.54</v>
      </c>
      <c r="AC9" s="26">
        <v>0.51600000000000001</v>
      </c>
      <c r="AD9" s="26">
        <v>0.627</v>
      </c>
      <c r="AE9" s="26">
        <v>0.59799999999999998</v>
      </c>
      <c r="AF9" s="26">
        <v>0.77700000000000002</v>
      </c>
      <c r="AG9" s="26">
        <v>1</v>
      </c>
      <c r="AH9" s="26"/>
      <c r="AI9" s="26"/>
      <c r="AJ9" s="26"/>
      <c r="AK9" s="26"/>
      <c r="AL9" s="26"/>
      <c r="AM9" s="26"/>
      <c r="AN9" s="26"/>
      <c r="AO9" s="26"/>
      <c r="AP9" s="26"/>
    </row>
    <row r="10" spans="8:42" x14ac:dyDescent="0.25">
      <c r="H10" s="25" t="s">
        <v>74</v>
      </c>
      <c r="I10" s="26">
        <v>0.51500000000000001</v>
      </c>
      <c r="J10" s="26">
        <v>0.65700000000000003</v>
      </c>
      <c r="K10" s="26">
        <v>0.64200000000000002</v>
      </c>
      <c r="L10" s="26">
        <v>0.69399999999999995</v>
      </c>
      <c r="M10" s="26">
        <v>0.70499999999999996</v>
      </c>
      <c r="N10" s="26">
        <v>0.78200000000000003</v>
      </c>
      <c r="O10" s="26">
        <v>0.83699999999999997</v>
      </c>
      <c r="P10" s="26">
        <v>1</v>
      </c>
      <c r="Q10" s="26"/>
      <c r="R10" s="26"/>
      <c r="S10" s="26"/>
      <c r="T10" s="26"/>
      <c r="U10" s="26"/>
      <c r="V10" s="26"/>
      <c r="W10" s="26"/>
      <c r="X10" s="26"/>
      <c r="Z10" s="25" t="s">
        <v>74</v>
      </c>
      <c r="AA10" s="26">
        <v>0.443</v>
      </c>
      <c r="AB10" s="26">
        <v>0.57099999999999995</v>
      </c>
      <c r="AC10" s="26">
        <v>0.54700000000000004</v>
      </c>
      <c r="AD10" s="26">
        <v>0.60599999999999998</v>
      </c>
      <c r="AE10" s="26">
        <v>0.61099999999999999</v>
      </c>
      <c r="AF10" s="26">
        <v>0.69399999999999995</v>
      </c>
      <c r="AG10" s="26">
        <v>0.75600000000000001</v>
      </c>
      <c r="AH10" s="26">
        <v>1</v>
      </c>
      <c r="AI10" s="26"/>
      <c r="AJ10" s="26"/>
      <c r="AK10" s="26"/>
      <c r="AL10" s="26"/>
      <c r="AM10" s="26"/>
      <c r="AN10" s="26"/>
      <c r="AO10" s="26"/>
      <c r="AP10" s="26"/>
    </row>
    <row r="11" spans="8:42" x14ac:dyDescent="0.25">
      <c r="H11" s="25" t="s">
        <v>75</v>
      </c>
      <c r="I11" s="26">
        <v>0.57099999999999995</v>
      </c>
      <c r="J11" s="26">
        <v>0.52</v>
      </c>
      <c r="K11" s="26">
        <v>0.54800000000000004</v>
      </c>
      <c r="L11" s="26">
        <v>0.55600000000000005</v>
      </c>
      <c r="M11" s="26">
        <v>0.63200000000000001</v>
      </c>
      <c r="N11" s="26">
        <v>0.69599999999999995</v>
      </c>
      <c r="O11" s="26">
        <v>0.70099999999999996</v>
      </c>
      <c r="P11" s="26">
        <v>0.72099999999999997</v>
      </c>
      <c r="Q11" s="26">
        <v>1</v>
      </c>
      <c r="R11" s="26"/>
      <c r="S11" s="26"/>
      <c r="T11" s="26"/>
      <c r="U11" s="26"/>
      <c r="V11" s="26"/>
      <c r="W11" s="26"/>
      <c r="X11" s="26"/>
      <c r="Z11" s="25" t="s">
        <v>75</v>
      </c>
      <c r="AA11" s="26">
        <v>0.497</v>
      </c>
      <c r="AB11" s="26">
        <v>0.443</v>
      </c>
      <c r="AC11" s="26">
        <v>0.46200000000000002</v>
      </c>
      <c r="AD11" s="26">
        <v>0.49099999999999999</v>
      </c>
      <c r="AE11" s="26">
        <v>0.55100000000000005</v>
      </c>
      <c r="AF11" s="26">
        <v>0.61599999999999999</v>
      </c>
      <c r="AG11" s="26">
        <v>0.623</v>
      </c>
      <c r="AH11" s="26">
        <v>0.64400000000000002</v>
      </c>
      <c r="AI11" s="26">
        <v>1</v>
      </c>
      <c r="AJ11" s="26"/>
      <c r="AK11" s="26"/>
      <c r="AL11" s="26"/>
      <c r="AM11" s="26"/>
      <c r="AN11" s="26"/>
      <c r="AO11" s="26"/>
      <c r="AP11" s="26"/>
    </row>
    <row r="12" spans="8:42" x14ac:dyDescent="0.25">
      <c r="H12" s="25" t="s">
        <v>76</v>
      </c>
      <c r="I12" s="26">
        <v>0.47299999999999998</v>
      </c>
      <c r="J12" s="26">
        <v>0.433</v>
      </c>
      <c r="K12" s="26">
        <v>0.497</v>
      </c>
      <c r="L12" s="26">
        <v>0.47799999999999998</v>
      </c>
      <c r="M12" s="26">
        <v>0.495</v>
      </c>
      <c r="N12" s="26">
        <v>0.52400000000000002</v>
      </c>
      <c r="O12" s="26">
        <v>0.51800000000000002</v>
      </c>
      <c r="P12" s="26">
        <v>0.59699999999999998</v>
      </c>
      <c r="Q12" s="26">
        <v>0.66400000000000003</v>
      </c>
      <c r="R12" s="26">
        <v>1</v>
      </c>
      <c r="S12" s="26"/>
      <c r="T12" s="26"/>
      <c r="U12" s="26"/>
      <c r="V12" s="26"/>
      <c r="W12" s="26"/>
      <c r="X12" s="26"/>
      <c r="Z12" s="25" t="s">
        <v>76</v>
      </c>
      <c r="AA12" s="26">
        <v>0.38900000000000001</v>
      </c>
      <c r="AB12" s="26">
        <v>0.35099999999999998</v>
      </c>
      <c r="AC12" s="26">
        <v>0.41199999999999998</v>
      </c>
      <c r="AD12" s="26">
        <v>0.38200000000000001</v>
      </c>
      <c r="AE12" s="26">
        <v>0.40600000000000003</v>
      </c>
      <c r="AF12" s="26">
        <v>0.42399999999999999</v>
      </c>
      <c r="AG12" s="26">
        <v>0.41899999999999998</v>
      </c>
      <c r="AH12" s="26">
        <v>0.505</v>
      </c>
      <c r="AI12" s="26">
        <v>0.56100000000000005</v>
      </c>
      <c r="AJ12" s="26">
        <v>1</v>
      </c>
      <c r="AK12" s="26"/>
      <c r="AL12" s="26"/>
      <c r="AM12" s="26"/>
      <c r="AN12" s="26"/>
      <c r="AO12" s="26"/>
      <c r="AP12" s="26"/>
    </row>
    <row r="13" spans="8:42" x14ac:dyDescent="0.25">
      <c r="H13" s="25" t="s">
        <v>77</v>
      </c>
      <c r="I13" s="26">
        <v>0.40799999999999997</v>
      </c>
      <c r="J13" s="26">
        <v>0.41899999999999998</v>
      </c>
      <c r="K13" s="26">
        <v>0.442</v>
      </c>
      <c r="L13" s="26">
        <v>0.44800000000000001</v>
      </c>
      <c r="M13" s="26">
        <v>0.42899999999999999</v>
      </c>
      <c r="N13" s="26">
        <v>0.38600000000000001</v>
      </c>
      <c r="O13" s="26">
        <v>0.43099999999999999</v>
      </c>
      <c r="P13" s="26">
        <v>0.50900000000000001</v>
      </c>
      <c r="Q13" s="26">
        <v>0.55800000000000005</v>
      </c>
      <c r="R13" s="26">
        <v>0.66500000000000004</v>
      </c>
      <c r="S13" s="26">
        <v>1</v>
      </c>
      <c r="T13" s="26"/>
      <c r="U13" s="26"/>
      <c r="V13" s="26"/>
      <c r="W13" s="26"/>
      <c r="X13" s="26"/>
      <c r="Z13" s="25" t="s">
        <v>77</v>
      </c>
      <c r="AA13" s="26">
        <v>0.317</v>
      </c>
      <c r="AB13" s="26">
        <v>0.33500000000000002</v>
      </c>
      <c r="AC13" s="26">
        <v>0.35599999999999998</v>
      </c>
      <c r="AD13" s="26">
        <v>0.34599999999999997</v>
      </c>
      <c r="AE13" s="26">
        <v>0.34</v>
      </c>
      <c r="AF13" s="26">
        <v>0.28699999999999998</v>
      </c>
      <c r="AG13" s="26">
        <v>0.32500000000000001</v>
      </c>
      <c r="AH13" s="26">
        <v>0.38900000000000001</v>
      </c>
      <c r="AI13" s="26">
        <v>0.42399999999999999</v>
      </c>
      <c r="AJ13" s="26">
        <v>0.56000000000000005</v>
      </c>
      <c r="AK13" s="26">
        <v>1</v>
      </c>
      <c r="AL13" s="26"/>
      <c r="AM13" s="26"/>
      <c r="AN13" s="26"/>
      <c r="AO13" s="26"/>
      <c r="AP13" s="26"/>
    </row>
    <row r="14" spans="8:42" x14ac:dyDescent="0.25">
      <c r="H14" s="25" t="s">
        <v>78</v>
      </c>
      <c r="I14" s="26">
        <v>0.28799999999999998</v>
      </c>
      <c r="J14" s="26">
        <v>0.317</v>
      </c>
      <c r="K14" s="26">
        <v>0.35</v>
      </c>
      <c r="L14" s="26">
        <v>0.34100000000000003</v>
      </c>
      <c r="M14" s="26">
        <v>0.31900000000000001</v>
      </c>
      <c r="N14" s="26">
        <v>0.27200000000000002</v>
      </c>
      <c r="O14" s="26">
        <v>0.26300000000000001</v>
      </c>
      <c r="P14" s="26">
        <v>0.38500000000000001</v>
      </c>
      <c r="Q14" s="26">
        <v>0.432</v>
      </c>
      <c r="R14" s="26">
        <v>0.47499999999999998</v>
      </c>
      <c r="S14" s="26">
        <v>0.57899999999999996</v>
      </c>
      <c r="T14" s="26">
        <v>1</v>
      </c>
      <c r="U14" s="26"/>
      <c r="V14" s="26"/>
      <c r="W14" s="26"/>
      <c r="X14" s="26"/>
      <c r="Z14" s="25" t="s">
        <v>78</v>
      </c>
      <c r="AA14" s="26">
        <v>0.214</v>
      </c>
      <c r="AB14" s="26">
        <v>0.26200000000000001</v>
      </c>
      <c r="AC14" s="26">
        <v>0.28000000000000003</v>
      </c>
      <c r="AD14" s="26">
        <v>0.26700000000000002</v>
      </c>
      <c r="AE14" s="26">
        <v>0.26400000000000001</v>
      </c>
      <c r="AF14" s="26">
        <v>0.21299999999999999</v>
      </c>
      <c r="AG14" s="26">
        <v>0.20799999999999999</v>
      </c>
      <c r="AH14" s="26">
        <v>0.3</v>
      </c>
      <c r="AI14" s="26">
        <v>0.33600000000000002</v>
      </c>
      <c r="AJ14" s="26">
        <v>0.375</v>
      </c>
      <c r="AK14" s="26">
        <v>0.45900000000000002</v>
      </c>
      <c r="AL14" s="26">
        <v>1</v>
      </c>
      <c r="AM14" s="26"/>
      <c r="AN14" s="26"/>
      <c r="AO14" s="26"/>
      <c r="AP14" s="26"/>
    </row>
    <row r="15" spans="8:42" x14ac:dyDescent="0.25">
      <c r="H15" s="25" t="s">
        <v>79</v>
      </c>
      <c r="I15" s="26">
        <v>0.25900000000000001</v>
      </c>
      <c r="J15" s="26">
        <v>0.31</v>
      </c>
      <c r="K15" s="26">
        <v>0.35299999999999998</v>
      </c>
      <c r="L15" s="26">
        <v>0.33</v>
      </c>
      <c r="M15" s="26">
        <v>0.32300000000000001</v>
      </c>
      <c r="N15" s="26">
        <v>0.26700000000000002</v>
      </c>
      <c r="O15" s="26">
        <v>0.255</v>
      </c>
      <c r="P15" s="26">
        <v>0.33600000000000002</v>
      </c>
      <c r="Q15" s="26">
        <v>0.376</v>
      </c>
      <c r="R15" s="26">
        <v>0.46600000000000003</v>
      </c>
      <c r="S15" s="26">
        <v>0.49299999999999999</v>
      </c>
      <c r="T15" s="26">
        <v>0.45800000000000002</v>
      </c>
      <c r="U15" s="26">
        <v>1</v>
      </c>
      <c r="V15" s="26"/>
      <c r="W15" s="26"/>
      <c r="X15" s="26"/>
      <c r="Z15" s="25" t="s">
        <v>79</v>
      </c>
      <c r="AA15" s="26">
        <v>0.19700000000000001</v>
      </c>
      <c r="AB15" s="26">
        <v>0.24099999999999999</v>
      </c>
      <c r="AC15" s="26">
        <v>0.27300000000000002</v>
      </c>
      <c r="AD15" s="26">
        <v>0.254</v>
      </c>
      <c r="AE15" s="26">
        <v>0.25700000000000001</v>
      </c>
      <c r="AF15" s="26">
        <v>0.20699999999999999</v>
      </c>
      <c r="AG15" s="26">
        <v>0.20100000000000001</v>
      </c>
      <c r="AH15" s="26">
        <v>0.255</v>
      </c>
      <c r="AI15" s="26">
        <v>0.29799999999999999</v>
      </c>
      <c r="AJ15" s="26">
        <v>0.36399999999999999</v>
      </c>
      <c r="AK15" s="26">
        <v>0.38100000000000001</v>
      </c>
      <c r="AL15" s="26">
        <v>0.34499999999999997</v>
      </c>
      <c r="AM15" s="26">
        <v>1</v>
      </c>
      <c r="AN15" s="26"/>
      <c r="AO15" s="26"/>
      <c r="AP15" s="26"/>
    </row>
    <row r="16" spans="8:42" x14ac:dyDescent="0.25">
      <c r="H16" s="25" t="s">
        <v>80</v>
      </c>
      <c r="I16" s="26">
        <v>0.35099999999999998</v>
      </c>
      <c r="J16" s="26">
        <v>0.41099999999999998</v>
      </c>
      <c r="K16" s="26">
        <v>0.442</v>
      </c>
      <c r="L16" s="26">
        <v>0.40500000000000003</v>
      </c>
      <c r="M16" s="26">
        <v>0.442</v>
      </c>
      <c r="N16" s="26">
        <v>0.39</v>
      </c>
      <c r="O16" s="26">
        <v>0.40699999999999997</v>
      </c>
      <c r="P16" s="26">
        <v>0.44</v>
      </c>
      <c r="Q16" s="26">
        <v>0.45600000000000002</v>
      </c>
      <c r="R16" s="26">
        <v>0.49</v>
      </c>
      <c r="S16" s="26">
        <v>0.57299999999999995</v>
      </c>
      <c r="T16" s="26">
        <v>0.42899999999999999</v>
      </c>
      <c r="U16" s="26">
        <v>0.42</v>
      </c>
      <c r="V16" s="26">
        <v>1</v>
      </c>
      <c r="W16" s="26"/>
      <c r="X16" s="26"/>
      <c r="Z16" s="25" t="s">
        <v>80</v>
      </c>
      <c r="AA16" s="26">
        <v>0.28799999999999998</v>
      </c>
      <c r="AB16" s="26">
        <v>0.34699999999999998</v>
      </c>
      <c r="AC16" s="26">
        <v>0.36899999999999999</v>
      </c>
      <c r="AD16" s="26">
        <v>0.33400000000000002</v>
      </c>
      <c r="AE16" s="26">
        <v>0.375</v>
      </c>
      <c r="AF16" s="26">
        <v>0.32</v>
      </c>
      <c r="AG16" s="26">
        <v>0.33</v>
      </c>
      <c r="AH16" s="26">
        <v>0.36499999999999999</v>
      </c>
      <c r="AI16" s="26">
        <v>0.38700000000000001</v>
      </c>
      <c r="AJ16" s="26">
        <v>0.39</v>
      </c>
      <c r="AK16" s="26">
        <v>0.47099999999999997</v>
      </c>
      <c r="AL16" s="26">
        <v>0.35199999999999998</v>
      </c>
      <c r="AM16" s="26">
        <v>0.32800000000000001</v>
      </c>
      <c r="AN16" s="26">
        <v>1</v>
      </c>
      <c r="AO16" s="26"/>
      <c r="AP16" s="26"/>
    </row>
    <row r="17" spans="8:42" x14ac:dyDescent="0.25">
      <c r="H17" s="25" t="s">
        <v>81</v>
      </c>
      <c r="I17" s="26">
        <v>0.34899999999999998</v>
      </c>
      <c r="J17" s="26">
        <v>0.46600000000000003</v>
      </c>
      <c r="K17" s="26">
        <v>0.46400000000000002</v>
      </c>
      <c r="L17" s="26">
        <v>0.42599999999999999</v>
      </c>
      <c r="M17" s="26">
        <v>0.49</v>
      </c>
      <c r="N17" s="26">
        <v>0.39700000000000002</v>
      </c>
      <c r="O17" s="26">
        <v>0.45</v>
      </c>
      <c r="P17" s="26">
        <v>0.48099999999999998</v>
      </c>
      <c r="Q17" s="26">
        <v>0.45100000000000001</v>
      </c>
      <c r="R17" s="26">
        <v>0.54200000000000004</v>
      </c>
      <c r="S17" s="26">
        <v>0.69399999999999995</v>
      </c>
      <c r="T17" s="26">
        <v>0.45600000000000002</v>
      </c>
      <c r="U17" s="26">
        <v>0.41899999999999998</v>
      </c>
      <c r="V17" s="26">
        <v>0.52500000000000002</v>
      </c>
      <c r="W17" s="26">
        <v>1</v>
      </c>
      <c r="X17" s="26"/>
      <c r="Z17" s="25" t="s">
        <v>81</v>
      </c>
      <c r="AA17" s="26">
        <v>0.252</v>
      </c>
      <c r="AB17" s="26">
        <v>0.34200000000000003</v>
      </c>
      <c r="AC17" s="26">
        <v>0.33800000000000002</v>
      </c>
      <c r="AD17" s="26">
        <v>0.30299999999999999</v>
      </c>
      <c r="AE17" s="26">
        <v>0.35599999999999998</v>
      </c>
      <c r="AF17" s="26">
        <v>0.28000000000000003</v>
      </c>
      <c r="AG17" s="26">
        <v>0.32100000000000001</v>
      </c>
      <c r="AH17" s="26">
        <v>0.34899999999999998</v>
      </c>
      <c r="AI17" s="26">
        <v>0.32800000000000001</v>
      </c>
      <c r="AJ17" s="26">
        <v>0.41499999999999998</v>
      </c>
      <c r="AK17" s="26">
        <v>0.55000000000000004</v>
      </c>
      <c r="AL17" s="26">
        <v>0.36299999999999999</v>
      </c>
      <c r="AM17" s="26">
        <v>0.308</v>
      </c>
      <c r="AN17" s="26">
        <v>0.41299999999999998</v>
      </c>
      <c r="AO17" s="26">
        <v>1</v>
      </c>
      <c r="AP17" s="26"/>
    </row>
    <row r="18" spans="8:42" x14ac:dyDescent="0.25">
      <c r="H18" s="25" t="s">
        <v>82</v>
      </c>
      <c r="I18" s="26">
        <v>0.35199999999999998</v>
      </c>
      <c r="J18" s="26">
        <v>0.39</v>
      </c>
      <c r="K18" s="26">
        <v>0.41399999999999998</v>
      </c>
      <c r="L18" s="26">
        <v>0.41199999999999998</v>
      </c>
      <c r="M18" s="26">
        <v>0.41499999999999998</v>
      </c>
      <c r="N18" s="26">
        <v>0.40799999999999997</v>
      </c>
      <c r="O18" s="26">
        <v>0.39500000000000002</v>
      </c>
      <c r="P18" s="26">
        <v>0.501</v>
      </c>
      <c r="Q18" s="26">
        <v>0.52600000000000002</v>
      </c>
      <c r="R18" s="26">
        <v>0.53800000000000003</v>
      </c>
      <c r="S18" s="26">
        <v>0.56399999999999995</v>
      </c>
      <c r="T18" s="26">
        <v>0.51600000000000001</v>
      </c>
      <c r="U18" s="26">
        <v>0.41099999999999998</v>
      </c>
      <c r="V18" s="26">
        <v>0.57899999999999996</v>
      </c>
      <c r="W18" s="26">
        <v>0.58499999999999996</v>
      </c>
      <c r="X18" s="26">
        <v>1</v>
      </c>
      <c r="Z18" s="25" t="s">
        <v>82</v>
      </c>
      <c r="AA18" s="26">
        <v>0.28399999999999997</v>
      </c>
      <c r="AB18" s="26">
        <v>0.314</v>
      </c>
      <c r="AC18" s="26">
        <v>0.33900000000000002</v>
      </c>
      <c r="AD18" s="26">
        <v>0.33</v>
      </c>
      <c r="AE18" s="26">
        <v>0.34100000000000003</v>
      </c>
      <c r="AF18" s="26">
        <v>0.32800000000000001</v>
      </c>
      <c r="AG18" s="26">
        <v>0.32100000000000001</v>
      </c>
      <c r="AH18" s="26">
        <v>0.41099999999999998</v>
      </c>
      <c r="AI18" s="26">
        <v>0.43099999999999999</v>
      </c>
      <c r="AJ18" s="26">
        <v>0.44400000000000001</v>
      </c>
      <c r="AK18" s="26">
        <v>0.45900000000000002</v>
      </c>
      <c r="AL18" s="26">
        <v>0.42699999999999999</v>
      </c>
      <c r="AM18" s="26">
        <v>0.31900000000000001</v>
      </c>
      <c r="AN18" s="26">
        <v>0.48599999999999999</v>
      </c>
      <c r="AO18" s="26">
        <v>0.45</v>
      </c>
      <c r="AP18" s="26">
        <v>1</v>
      </c>
    </row>
    <row r="21" spans="8:42" x14ac:dyDescent="0.25">
      <c r="I21" s="28"/>
      <c r="J21" s="28"/>
    </row>
    <row r="22" spans="8:42" ht="15.75" thickBot="1" x14ac:dyDescent="0.3">
      <c r="H22" s="24" t="s">
        <v>83</v>
      </c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Z22" s="24" t="s">
        <v>84</v>
      </c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</row>
    <row r="23" spans="8:42" x14ac:dyDescent="0.25">
      <c r="I23" s="26" t="s">
        <v>67</v>
      </c>
      <c r="J23" s="26" t="s">
        <v>68</v>
      </c>
      <c r="K23" s="25" t="s">
        <v>69</v>
      </c>
      <c r="L23" s="25" t="s">
        <v>70</v>
      </c>
      <c r="M23" s="25" t="s">
        <v>71</v>
      </c>
      <c r="N23" s="25" t="s">
        <v>72</v>
      </c>
      <c r="O23" s="25" t="s">
        <v>73</v>
      </c>
      <c r="P23" s="25" t="s">
        <v>74</v>
      </c>
      <c r="Q23" s="25" t="s">
        <v>75</v>
      </c>
      <c r="R23" s="25" t="s">
        <v>76</v>
      </c>
      <c r="S23" s="25" t="s">
        <v>77</v>
      </c>
      <c r="T23" s="25" t="s">
        <v>78</v>
      </c>
      <c r="U23" s="27" t="s">
        <v>79</v>
      </c>
      <c r="V23" s="27" t="s">
        <v>80</v>
      </c>
      <c r="W23" s="27" t="s">
        <v>81</v>
      </c>
      <c r="X23" s="27" t="s">
        <v>82</v>
      </c>
      <c r="AA23" s="26" t="s">
        <v>67</v>
      </c>
      <c r="AB23" s="26" t="s">
        <v>68</v>
      </c>
      <c r="AC23" s="25" t="s">
        <v>69</v>
      </c>
      <c r="AD23" s="25" t="s">
        <v>70</v>
      </c>
      <c r="AE23" s="25" t="s">
        <v>71</v>
      </c>
      <c r="AF23" s="25" t="s">
        <v>72</v>
      </c>
      <c r="AG23" s="25" t="s">
        <v>73</v>
      </c>
      <c r="AH23" s="25" t="s">
        <v>74</v>
      </c>
      <c r="AI23" s="25" t="s">
        <v>75</v>
      </c>
      <c r="AJ23" s="25" t="s">
        <v>76</v>
      </c>
      <c r="AK23" s="25" t="s">
        <v>77</v>
      </c>
      <c r="AL23" s="25" t="s">
        <v>78</v>
      </c>
      <c r="AM23" s="27" t="s">
        <v>79</v>
      </c>
      <c r="AN23" s="27" t="s">
        <v>80</v>
      </c>
      <c r="AO23" s="27" t="s">
        <v>81</v>
      </c>
      <c r="AP23" s="27" t="s">
        <v>82</v>
      </c>
    </row>
    <row r="24" spans="8:42" x14ac:dyDescent="0.25">
      <c r="H24" s="25" t="s">
        <v>67</v>
      </c>
      <c r="I24" s="26">
        <v>0</v>
      </c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Z24" s="25" t="s">
        <v>67</v>
      </c>
      <c r="AA24" s="26">
        <v>0</v>
      </c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</row>
    <row r="25" spans="8:42" x14ac:dyDescent="0.25">
      <c r="H25" s="25" t="s">
        <v>68</v>
      </c>
      <c r="I25" s="26">
        <v>2.7E-2</v>
      </c>
      <c r="J25" s="26">
        <v>0</v>
      </c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Z25" s="25" t="s">
        <v>68</v>
      </c>
      <c r="AA25" s="26">
        <v>2.5000000000000001E-2</v>
      </c>
      <c r="AB25" s="26">
        <v>0</v>
      </c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</row>
    <row r="26" spans="8:42" x14ac:dyDescent="0.25">
      <c r="H26" s="25" t="s">
        <v>69</v>
      </c>
      <c r="I26" s="26">
        <v>2.8000000000000001E-2</v>
      </c>
      <c r="J26" s="26">
        <v>1.4E-2</v>
      </c>
      <c r="K26" s="26"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Z26" s="25" t="s">
        <v>69</v>
      </c>
      <c r="AA26" s="26">
        <v>2.5999999999999999E-2</v>
      </c>
      <c r="AB26" s="26">
        <v>1.4999999999999999E-2</v>
      </c>
      <c r="AC26" s="26">
        <v>0</v>
      </c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</row>
    <row r="27" spans="8:42" x14ac:dyDescent="0.25">
      <c r="H27" s="25" t="s">
        <v>70</v>
      </c>
      <c r="I27" s="26">
        <v>2.9000000000000001E-2</v>
      </c>
      <c r="J27" s="26">
        <v>2.1999999999999999E-2</v>
      </c>
      <c r="K27" s="26">
        <v>2.1999999999999999E-2</v>
      </c>
      <c r="L27" s="26">
        <v>0</v>
      </c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Z27" s="25" t="s">
        <v>70</v>
      </c>
      <c r="AA27" s="26">
        <v>2.7E-2</v>
      </c>
      <c r="AB27" s="26">
        <v>2.1999999999999999E-2</v>
      </c>
      <c r="AC27" s="26">
        <v>2.1999999999999999E-2</v>
      </c>
      <c r="AD27" s="26">
        <v>0</v>
      </c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</row>
    <row r="28" spans="8:42" x14ac:dyDescent="0.25">
      <c r="H28" s="25" t="s">
        <v>71</v>
      </c>
      <c r="I28" s="26">
        <v>0.03</v>
      </c>
      <c r="J28" s="26">
        <v>2.4E-2</v>
      </c>
      <c r="K28" s="26">
        <v>2.1999999999999999E-2</v>
      </c>
      <c r="L28" s="26">
        <v>2.1999999999999999E-2</v>
      </c>
      <c r="M28" s="26">
        <v>0</v>
      </c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Z28" s="25" t="s">
        <v>71</v>
      </c>
      <c r="AA28" s="26">
        <v>2.8000000000000001E-2</v>
      </c>
      <c r="AB28" s="26">
        <v>2.3E-2</v>
      </c>
      <c r="AC28" s="26">
        <v>2.1000000000000001E-2</v>
      </c>
      <c r="AD28" s="26">
        <v>2.1000000000000001E-2</v>
      </c>
      <c r="AE28" s="26">
        <v>0</v>
      </c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</row>
    <row r="29" spans="8:42" x14ac:dyDescent="0.25">
      <c r="H29" s="25" t="s">
        <v>72</v>
      </c>
      <c r="I29" s="26">
        <v>2.7E-2</v>
      </c>
      <c r="J29" s="26">
        <v>2.5000000000000001E-2</v>
      </c>
      <c r="K29" s="26">
        <v>2.5000000000000001E-2</v>
      </c>
      <c r="L29" s="26">
        <v>2.1000000000000001E-2</v>
      </c>
      <c r="M29" s="26">
        <v>2.1999999999999999E-2</v>
      </c>
      <c r="N29" s="26">
        <v>0</v>
      </c>
      <c r="O29" s="26"/>
      <c r="P29" s="26"/>
      <c r="Q29" s="26"/>
      <c r="R29" s="26"/>
      <c r="S29" s="26"/>
      <c r="T29" s="26"/>
      <c r="U29" s="26"/>
      <c r="V29" s="26"/>
      <c r="W29" s="26"/>
      <c r="X29" s="26"/>
      <c r="Z29" s="25" t="s">
        <v>72</v>
      </c>
      <c r="AA29" s="26">
        <v>2.5999999999999999E-2</v>
      </c>
      <c r="AB29" s="26">
        <v>2.4E-2</v>
      </c>
      <c r="AC29" s="26">
        <v>2.4E-2</v>
      </c>
      <c r="AD29" s="26">
        <v>2.1999999999999999E-2</v>
      </c>
      <c r="AE29" s="26">
        <v>2.1000000000000001E-2</v>
      </c>
      <c r="AF29" s="26">
        <v>0</v>
      </c>
      <c r="AG29" s="26"/>
      <c r="AH29" s="26"/>
      <c r="AI29" s="26"/>
      <c r="AJ29" s="26"/>
      <c r="AK29" s="26"/>
      <c r="AL29" s="26"/>
      <c r="AM29" s="26"/>
      <c r="AN29" s="26"/>
      <c r="AO29" s="26"/>
      <c r="AP29" s="26"/>
    </row>
    <row r="30" spans="8:42" x14ac:dyDescent="0.25">
      <c r="H30" s="25" t="s">
        <v>73</v>
      </c>
      <c r="I30" s="26">
        <v>2.8000000000000001E-2</v>
      </c>
      <c r="J30" s="26">
        <v>2.4E-2</v>
      </c>
      <c r="K30" s="26">
        <v>2.5999999999999999E-2</v>
      </c>
      <c r="L30" s="26">
        <v>1.9E-2</v>
      </c>
      <c r="M30" s="26">
        <v>2.1999999999999999E-2</v>
      </c>
      <c r="N30" s="26">
        <v>1.0999999999999999E-2</v>
      </c>
      <c r="O30" s="26">
        <v>0</v>
      </c>
      <c r="P30" s="26"/>
      <c r="Q30" s="26"/>
      <c r="R30" s="26"/>
      <c r="S30" s="26"/>
      <c r="T30" s="26"/>
      <c r="U30" s="26"/>
      <c r="V30" s="26"/>
      <c r="W30" s="26"/>
      <c r="X30" s="26"/>
      <c r="Z30" s="25" t="s">
        <v>73</v>
      </c>
      <c r="AA30" s="26">
        <v>2.7E-2</v>
      </c>
      <c r="AB30" s="26">
        <v>2.3E-2</v>
      </c>
      <c r="AC30" s="26">
        <v>2.4E-2</v>
      </c>
      <c r="AD30" s="26">
        <v>0.02</v>
      </c>
      <c r="AE30" s="26">
        <v>2.1000000000000001E-2</v>
      </c>
      <c r="AF30" s="26">
        <v>1.2999999999999999E-2</v>
      </c>
      <c r="AG30" s="26">
        <v>0</v>
      </c>
      <c r="AH30" s="26"/>
      <c r="AI30" s="26"/>
      <c r="AJ30" s="26"/>
      <c r="AK30" s="26"/>
      <c r="AL30" s="26"/>
      <c r="AM30" s="26"/>
      <c r="AN30" s="26"/>
      <c r="AO30" s="26"/>
      <c r="AP30" s="26"/>
    </row>
    <row r="31" spans="8:42" x14ac:dyDescent="0.25">
      <c r="H31" s="25" t="s">
        <v>74</v>
      </c>
      <c r="I31" s="26">
        <v>2.7E-2</v>
      </c>
      <c r="J31" s="26">
        <v>2.3E-2</v>
      </c>
      <c r="K31" s="26">
        <v>2.3E-2</v>
      </c>
      <c r="L31" s="26">
        <v>0.02</v>
      </c>
      <c r="M31" s="26">
        <v>0.02</v>
      </c>
      <c r="N31" s="26">
        <v>1.6E-2</v>
      </c>
      <c r="O31" s="26">
        <v>1.2E-2</v>
      </c>
      <c r="P31" s="26">
        <v>0</v>
      </c>
      <c r="Q31" s="26"/>
      <c r="R31" s="26"/>
      <c r="S31" s="26"/>
      <c r="T31" s="26"/>
      <c r="U31" s="26"/>
      <c r="V31" s="26"/>
      <c r="W31" s="26"/>
      <c r="X31" s="26"/>
      <c r="Z31" s="25" t="s">
        <v>74</v>
      </c>
      <c r="AA31" s="26">
        <v>2.5999999999999999E-2</v>
      </c>
      <c r="AB31" s="26">
        <v>2.1999999999999999E-2</v>
      </c>
      <c r="AC31" s="26">
        <v>2.3E-2</v>
      </c>
      <c r="AD31" s="26">
        <v>2.1000000000000001E-2</v>
      </c>
      <c r="AE31" s="26">
        <v>0.02</v>
      </c>
      <c r="AF31" s="26">
        <v>1.7000000000000001E-2</v>
      </c>
      <c r="AG31" s="26">
        <v>1.4E-2</v>
      </c>
      <c r="AH31" s="26">
        <v>0</v>
      </c>
      <c r="AI31" s="26"/>
      <c r="AJ31" s="26"/>
      <c r="AK31" s="26"/>
      <c r="AL31" s="26"/>
      <c r="AM31" s="26"/>
      <c r="AN31" s="26"/>
      <c r="AO31" s="26"/>
      <c r="AP31" s="26"/>
    </row>
    <row r="32" spans="8:42" x14ac:dyDescent="0.25">
      <c r="H32" s="25" t="s">
        <v>75</v>
      </c>
      <c r="I32" s="26">
        <v>2.5000000000000001E-2</v>
      </c>
      <c r="J32" s="26">
        <v>2.8000000000000001E-2</v>
      </c>
      <c r="K32" s="26">
        <v>2.7E-2</v>
      </c>
      <c r="L32" s="26">
        <v>2.7E-2</v>
      </c>
      <c r="M32" s="26">
        <v>2.4E-2</v>
      </c>
      <c r="N32" s="26">
        <v>1.9E-2</v>
      </c>
      <c r="O32" s="26">
        <v>1.9E-2</v>
      </c>
      <c r="P32" s="26">
        <v>1.7999999999999999E-2</v>
      </c>
      <c r="Q32" s="26">
        <v>0</v>
      </c>
      <c r="R32" s="26"/>
      <c r="S32" s="26"/>
      <c r="T32" s="26"/>
      <c r="U32" s="26"/>
      <c r="V32" s="26"/>
      <c r="W32" s="26"/>
      <c r="X32" s="26"/>
      <c r="Z32" s="25" t="s">
        <v>75</v>
      </c>
      <c r="AA32" s="26">
        <v>2.5000000000000001E-2</v>
      </c>
      <c r="AB32" s="26">
        <v>2.5999999999999999E-2</v>
      </c>
      <c r="AC32" s="26">
        <v>2.5999999999999999E-2</v>
      </c>
      <c r="AD32" s="26">
        <v>2.5000000000000001E-2</v>
      </c>
      <c r="AE32" s="26">
        <v>2.3E-2</v>
      </c>
      <c r="AF32" s="26">
        <v>0.02</v>
      </c>
      <c r="AG32" s="26">
        <v>0.02</v>
      </c>
      <c r="AH32" s="26">
        <v>1.9E-2</v>
      </c>
      <c r="AI32" s="26">
        <v>0</v>
      </c>
      <c r="AJ32" s="26"/>
      <c r="AK32" s="26"/>
      <c r="AL32" s="26"/>
      <c r="AM32" s="26"/>
      <c r="AN32" s="26"/>
      <c r="AO32" s="26"/>
      <c r="AP32" s="26"/>
    </row>
    <row r="33" spans="8:42" x14ac:dyDescent="0.25">
      <c r="H33" s="25" t="s">
        <v>76</v>
      </c>
      <c r="I33" s="26">
        <v>3.1E-2</v>
      </c>
      <c r="J33" s="26">
        <v>3.3000000000000002E-2</v>
      </c>
      <c r="K33" s="26">
        <v>3.1E-2</v>
      </c>
      <c r="L33" s="26">
        <v>3.2000000000000001E-2</v>
      </c>
      <c r="M33" s="26">
        <v>3.2000000000000001E-2</v>
      </c>
      <c r="N33" s="26">
        <v>3.1E-2</v>
      </c>
      <c r="O33" s="26">
        <v>3.1E-2</v>
      </c>
      <c r="P33" s="26">
        <v>2.7E-2</v>
      </c>
      <c r="Q33" s="26">
        <v>2.3E-2</v>
      </c>
      <c r="R33" s="26">
        <v>0</v>
      </c>
      <c r="S33" s="26"/>
      <c r="T33" s="26"/>
      <c r="U33" s="26"/>
      <c r="V33" s="26"/>
      <c r="W33" s="26"/>
      <c r="X33" s="26"/>
      <c r="Z33" s="25" t="s">
        <v>76</v>
      </c>
      <c r="AA33" s="26">
        <v>2.8000000000000001E-2</v>
      </c>
      <c r="AB33" s="26">
        <v>2.9000000000000001E-2</v>
      </c>
      <c r="AC33" s="26">
        <v>2.7E-2</v>
      </c>
      <c r="AD33" s="26">
        <v>2.8000000000000001E-2</v>
      </c>
      <c r="AE33" s="26">
        <v>2.7E-2</v>
      </c>
      <c r="AF33" s="26">
        <v>2.7E-2</v>
      </c>
      <c r="AG33" s="26">
        <v>2.7E-2</v>
      </c>
      <c r="AH33" s="26">
        <v>2.4E-2</v>
      </c>
      <c r="AI33" s="26">
        <v>2.1999999999999999E-2</v>
      </c>
      <c r="AJ33" s="26">
        <v>0</v>
      </c>
      <c r="AK33" s="26"/>
      <c r="AL33" s="26"/>
      <c r="AM33" s="26"/>
      <c r="AN33" s="26"/>
      <c r="AO33" s="26"/>
      <c r="AP33" s="26"/>
    </row>
    <row r="34" spans="8:42" x14ac:dyDescent="0.25">
      <c r="H34" s="25" t="s">
        <v>77</v>
      </c>
      <c r="I34" s="26">
        <v>3.6999999999999998E-2</v>
      </c>
      <c r="J34" s="26">
        <v>3.6999999999999998E-2</v>
      </c>
      <c r="K34" s="26">
        <v>3.6999999999999998E-2</v>
      </c>
      <c r="L34" s="26">
        <v>3.6999999999999998E-2</v>
      </c>
      <c r="M34" s="26">
        <v>3.6999999999999998E-2</v>
      </c>
      <c r="N34" s="26">
        <v>3.9E-2</v>
      </c>
      <c r="O34" s="26">
        <v>3.6999999999999998E-2</v>
      </c>
      <c r="P34" s="26">
        <v>3.2000000000000001E-2</v>
      </c>
      <c r="Q34" s="26">
        <v>3.2000000000000001E-2</v>
      </c>
      <c r="R34" s="26">
        <v>2.7E-2</v>
      </c>
      <c r="S34" s="26">
        <v>0</v>
      </c>
      <c r="T34" s="26"/>
      <c r="U34" s="26"/>
      <c r="V34" s="26"/>
      <c r="W34" s="26"/>
      <c r="X34" s="26"/>
      <c r="Z34" s="25" t="s">
        <v>77</v>
      </c>
      <c r="AA34" s="26">
        <v>2.9000000000000001E-2</v>
      </c>
      <c r="AB34" s="26">
        <v>2.9000000000000001E-2</v>
      </c>
      <c r="AC34" s="26">
        <v>2.8000000000000001E-2</v>
      </c>
      <c r="AD34" s="26">
        <v>2.9000000000000001E-2</v>
      </c>
      <c r="AE34" s="26">
        <v>2.9000000000000001E-2</v>
      </c>
      <c r="AF34" s="26">
        <v>0.03</v>
      </c>
      <c r="AG34" s="26">
        <v>2.9000000000000001E-2</v>
      </c>
      <c r="AH34" s="26">
        <v>2.8000000000000001E-2</v>
      </c>
      <c r="AI34" s="26">
        <v>2.7E-2</v>
      </c>
      <c r="AJ34" s="26">
        <v>2.1999999999999999E-2</v>
      </c>
      <c r="AK34" s="26">
        <v>0</v>
      </c>
      <c r="AL34" s="26"/>
      <c r="AM34" s="26"/>
      <c r="AN34" s="26"/>
      <c r="AO34" s="26"/>
      <c r="AP34" s="26"/>
    </row>
    <row r="35" spans="8:42" x14ac:dyDescent="0.25">
      <c r="H35" s="25" t="s">
        <v>78</v>
      </c>
      <c r="I35" s="26">
        <v>4.1000000000000002E-2</v>
      </c>
      <c r="J35" s="26">
        <v>4.1000000000000002E-2</v>
      </c>
      <c r="K35" s="26">
        <v>4.1000000000000002E-2</v>
      </c>
      <c r="L35" s="26">
        <v>4.1000000000000002E-2</v>
      </c>
      <c r="M35" s="26">
        <v>0.04</v>
      </c>
      <c r="N35" s="26">
        <v>4.3999999999999997E-2</v>
      </c>
      <c r="O35" s="26">
        <v>4.2999999999999997E-2</v>
      </c>
      <c r="P35" s="26">
        <v>0.04</v>
      </c>
      <c r="Q35" s="26">
        <v>3.7999999999999999E-2</v>
      </c>
      <c r="R35" s="26">
        <v>3.6999999999999998E-2</v>
      </c>
      <c r="S35" s="26">
        <v>3.4000000000000002E-2</v>
      </c>
      <c r="T35" s="26">
        <v>0</v>
      </c>
      <c r="U35" s="26"/>
      <c r="V35" s="26"/>
      <c r="W35" s="26"/>
      <c r="X35" s="26"/>
      <c r="Z35" s="25" t="s">
        <v>78</v>
      </c>
      <c r="AA35" s="26">
        <v>3.1E-2</v>
      </c>
      <c r="AB35" s="26">
        <v>0.03</v>
      </c>
      <c r="AC35" s="26">
        <v>0.03</v>
      </c>
      <c r="AD35" s="26">
        <v>0.03</v>
      </c>
      <c r="AE35" s="26">
        <v>0.03</v>
      </c>
      <c r="AF35" s="26">
        <v>3.1E-2</v>
      </c>
      <c r="AG35" s="26">
        <v>3.1E-2</v>
      </c>
      <c r="AH35" s="26">
        <v>0.03</v>
      </c>
      <c r="AI35" s="26">
        <v>2.9000000000000001E-2</v>
      </c>
      <c r="AJ35" s="26">
        <v>2.8000000000000001E-2</v>
      </c>
      <c r="AK35" s="26">
        <v>2.5999999999999999E-2</v>
      </c>
      <c r="AL35" s="26">
        <v>0</v>
      </c>
      <c r="AM35" s="26"/>
      <c r="AN35" s="26"/>
      <c r="AO35" s="26"/>
      <c r="AP35" s="26"/>
    </row>
    <row r="36" spans="8:42" x14ac:dyDescent="0.25">
      <c r="H36" s="25" t="s">
        <v>79</v>
      </c>
      <c r="I36" s="26">
        <v>3.7999999999999999E-2</v>
      </c>
      <c r="J36" s="26">
        <v>3.7999999999999999E-2</v>
      </c>
      <c r="K36" s="26">
        <v>3.6999999999999998E-2</v>
      </c>
      <c r="L36" s="26">
        <v>3.7999999999999999E-2</v>
      </c>
      <c r="M36" s="26">
        <v>3.7999999999999999E-2</v>
      </c>
      <c r="N36" s="26">
        <v>4.1000000000000002E-2</v>
      </c>
      <c r="O36" s="26">
        <v>0.04</v>
      </c>
      <c r="P36" s="26">
        <v>3.7999999999999999E-2</v>
      </c>
      <c r="Q36" s="26">
        <v>3.5999999999999997E-2</v>
      </c>
      <c r="R36" s="26">
        <v>3.5000000000000003E-2</v>
      </c>
      <c r="S36" s="26">
        <v>3.5999999999999997E-2</v>
      </c>
      <c r="T36" s="26">
        <v>3.7999999999999999E-2</v>
      </c>
      <c r="U36" s="26">
        <v>0</v>
      </c>
      <c r="V36" s="26"/>
      <c r="W36" s="26"/>
      <c r="X36" s="26"/>
      <c r="Z36" s="25" t="s">
        <v>79</v>
      </c>
      <c r="AA36" s="26">
        <v>3.1E-2</v>
      </c>
      <c r="AB36" s="26">
        <v>3.1E-2</v>
      </c>
      <c r="AC36" s="26">
        <v>0.03</v>
      </c>
      <c r="AD36" s="26">
        <v>0.03</v>
      </c>
      <c r="AE36" s="26">
        <v>0.03</v>
      </c>
      <c r="AF36" s="26">
        <v>3.1E-2</v>
      </c>
      <c r="AG36" s="26">
        <v>3.1E-2</v>
      </c>
      <c r="AH36" s="26">
        <v>0.03</v>
      </c>
      <c r="AI36" s="26">
        <v>0.03</v>
      </c>
      <c r="AJ36" s="26">
        <v>2.8000000000000001E-2</v>
      </c>
      <c r="AK36" s="26">
        <v>2.8000000000000001E-2</v>
      </c>
      <c r="AL36" s="26">
        <v>2.9000000000000001E-2</v>
      </c>
      <c r="AM36" s="26">
        <v>0</v>
      </c>
      <c r="AN36" s="26"/>
      <c r="AO36" s="26"/>
      <c r="AP36" s="26"/>
    </row>
    <row r="37" spans="8:42" x14ac:dyDescent="0.25">
      <c r="H37" s="25" t="s">
        <v>80</v>
      </c>
      <c r="I37" s="26">
        <v>3.4000000000000002E-2</v>
      </c>
      <c r="J37" s="26">
        <v>3.4000000000000002E-2</v>
      </c>
      <c r="K37" s="26">
        <v>3.4000000000000002E-2</v>
      </c>
      <c r="L37" s="26">
        <v>3.4000000000000002E-2</v>
      </c>
      <c r="M37" s="26">
        <v>3.2000000000000001E-2</v>
      </c>
      <c r="N37" s="26">
        <v>3.5000000000000003E-2</v>
      </c>
      <c r="O37" s="26">
        <v>3.3000000000000002E-2</v>
      </c>
      <c r="P37" s="26">
        <v>3.4000000000000002E-2</v>
      </c>
      <c r="Q37" s="26">
        <v>3.3000000000000002E-2</v>
      </c>
      <c r="R37" s="26">
        <v>3.1E-2</v>
      </c>
      <c r="S37" s="26">
        <v>3.1E-2</v>
      </c>
      <c r="T37" s="26">
        <v>3.6999999999999998E-2</v>
      </c>
      <c r="U37" s="26">
        <v>3.4000000000000002E-2</v>
      </c>
      <c r="V37" s="26">
        <v>0</v>
      </c>
      <c r="W37" s="26"/>
      <c r="X37" s="26"/>
      <c r="Z37" s="25" t="s">
        <v>80</v>
      </c>
      <c r="AA37" s="26">
        <v>0.03</v>
      </c>
      <c r="AB37" s="26">
        <v>2.9000000000000001E-2</v>
      </c>
      <c r="AC37" s="26">
        <v>2.8000000000000001E-2</v>
      </c>
      <c r="AD37" s="26">
        <v>2.9000000000000001E-2</v>
      </c>
      <c r="AE37" s="26">
        <v>2.8000000000000001E-2</v>
      </c>
      <c r="AF37" s="26">
        <v>2.9000000000000001E-2</v>
      </c>
      <c r="AG37" s="26">
        <v>2.9000000000000001E-2</v>
      </c>
      <c r="AH37" s="26">
        <v>2.8000000000000001E-2</v>
      </c>
      <c r="AI37" s="26">
        <v>2.8000000000000001E-2</v>
      </c>
      <c r="AJ37" s="26">
        <v>2.8000000000000001E-2</v>
      </c>
      <c r="AK37" s="26">
        <v>2.5000000000000001E-2</v>
      </c>
      <c r="AL37" s="26">
        <v>2.9000000000000001E-2</v>
      </c>
      <c r="AM37" s="26">
        <v>2.9000000000000001E-2</v>
      </c>
      <c r="AN37" s="26">
        <v>0</v>
      </c>
      <c r="AO37" s="26"/>
      <c r="AP37" s="26"/>
    </row>
    <row r="38" spans="8:42" x14ac:dyDescent="0.25">
      <c r="H38" s="25" t="s">
        <v>81</v>
      </c>
      <c r="I38" s="26">
        <v>4.2000000000000003E-2</v>
      </c>
      <c r="J38" s="26">
        <v>3.9E-2</v>
      </c>
      <c r="K38" s="26">
        <v>3.9E-2</v>
      </c>
      <c r="L38" s="26">
        <v>4.1000000000000002E-2</v>
      </c>
      <c r="M38" s="26">
        <v>3.6999999999999998E-2</v>
      </c>
      <c r="N38" s="26">
        <v>4.2000000000000003E-2</v>
      </c>
      <c r="O38" s="26">
        <v>3.9E-2</v>
      </c>
      <c r="P38" s="26">
        <v>3.9E-2</v>
      </c>
      <c r="Q38" s="26">
        <v>3.9E-2</v>
      </c>
      <c r="R38" s="26">
        <v>3.5000000000000003E-2</v>
      </c>
      <c r="S38" s="26">
        <v>2.7E-2</v>
      </c>
      <c r="T38" s="26">
        <v>4.1000000000000002E-2</v>
      </c>
      <c r="U38" s="26">
        <v>0.04</v>
      </c>
      <c r="V38" s="26">
        <v>3.5000000000000003E-2</v>
      </c>
      <c r="W38" s="26">
        <v>0</v>
      </c>
      <c r="X38" s="26"/>
      <c r="Z38" s="25" t="s">
        <v>81</v>
      </c>
      <c r="AA38" s="26">
        <v>3.1E-2</v>
      </c>
      <c r="AB38" s="26">
        <v>2.9000000000000001E-2</v>
      </c>
      <c r="AC38" s="26">
        <v>2.9000000000000001E-2</v>
      </c>
      <c r="AD38" s="26">
        <v>0.03</v>
      </c>
      <c r="AE38" s="26">
        <v>2.8000000000000001E-2</v>
      </c>
      <c r="AF38" s="26">
        <v>0.03</v>
      </c>
      <c r="AG38" s="26">
        <v>2.9000000000000001E-2</v>
      </c>
      <c r="AH38" s="26">
        <v>2.9000000000000001E-2</v>
      </c>
      <c r="AI38" s="26">
        <v>2.9000000000000001E-2</v>
      </c>
      <c r="AJ38" s="26">
        <v>2.7E-2</v>
      </c>
      <c r="AK38" s="26">
        <v>2.3E-2</v>
      </c>
      <c r="AL38" s="26">
        <v>2.8000000000000001E-2</v>
      </c>
      <c r="AM38" s="26">
        <v>0.03</v>
      </c>
      <c r="AN38" s="26">
        <v>2.7E-2</v>
      </c>
      <c r="AO38" s="26">
        <v>0</v>
      </c>
      <c r="AP38" s="26"/>
    </row>
    <row r="39" spans="8:42" x14ac:dyDescent="0.25">
      <c r="H39" s="25" t="s">
        <v>82</v>
      </c>
      <c r="I39" s="26">
        <v>3.5000000000000003E-2</v>
      </c>
      <c r="J39" s="26">
        <v>3.5999999999999997E-2</v>
      </c>
      <c r="K39" s="26">
        <v>3.5000000000000003E-2</v>
      </c>
      <c r="L39" s="26">
        <v>3.5000000000000003E-2</v>
      </c>
      <c r="M39" s="26">
        <v>3.5000000000000003E-2</v>
      </c>
      <c r="N39" s="26">
        <v>3.5000000000000003E-2</v>
      </c>
      <c r="O39" s="26">
        <v>3.5999999999999997E-2</v>
      </c>
      <c r="P39" s="26">
        <v>3.2000000000000001E-2</v>
      </c>
      <c r="Q39" s="26">
        <v>3.2000000000000001E-2</v>
      </c>
      <c r="R39" s="26">
        <v>3.1E-2</v>
      </c>
      <c r="S39" s="26">
        <v>3.2000000000000001E-2</v>
      </c>
      <c r="T39" s="26">
        <v>3.5999999999999997E-2</v>
      </c>
      <c r="U39" s="26">
        <v>3.5999999999999997E-2</v>
      </c>
      <c r="V39" s="26">
        <v>2.8000000000000001E-2</v>
      </c>
      <c r="W39" s="26">
        <v>3.1E-2</v>
      </c>
      <c r="X39" s="26">
        <v>0</v>
      </c>
      <c r="Z39" s="25" t="s">
        <v>82</v>
      </c>
      <c r="AA39" s="26">
        <v>0.03</v>
      </c>
      <c r="AB39" s="26">
        <v>2.9000000000000001E-2</v>
      </c>
      <c r="AC39" s="26">
        <v>2.9000000000000001E-2</v>
      </c>
      <c r="AD39" s="26">
        <v>2.9000000000000001E-2</v>
      </c>
      <c r="AE39" s="26">
        <v>2.9000000000000001E-2</v>
      </c>
      <c r="AF39" s="26">
        <v>2.9000000000000001E-2</v>
      </c>
      <c r="AG39" s="26">
        <v>2.9000000000000001E-2</v>
      </c>
      <c r="AH39" s="26">
        <v>2.7E-2</v>
      </c>
      <c r="AI39" s="26">
        <v>2.7E-2</v>
      </c>
      <c r="AJ39" s="26">
        <v>2.5999999999999999E-2</v>
      </c>
      <c r="AK39" s="26">
        <v>2.5999999999999999E-2</v>
      </c>
      <c r="AL39" s="26">
        <v>2.7E-2</v>
      </c>
      <c r="AM39" s="26">
        <v>2.9000000000000001E-2</v>
      </c>
      <c r="AN39" s="26">
        <v>2.5000000000000001E-2</v>
      </c>
      <c r="AO39" s="26">
        <v>2.5999999999999999E-2</v>
      </c>
      <c r="AP39" s="26">
        <v>0</v>
      </c>
    </row>
    <row r="40" spans="8:42" x14ac:dyDescent="0.25">
      <c r="I40" s="26"/>
      <c r="J40" s="26"/>
      <c r="K40" s="26"/>
      <c r="L40" s="26"/>
      <c r="M40" s="26"/>
      <c r="N40" s="26"/>
    </row>
    <row r="41" spans="8:42" x14ac:dyDescent="0.25">
      <c r="I41" s="26"/>
      <c r="J41" s="26"/>
      <c r="K41" s="26"/>
      <c r="L41" s="26"/>
      <c r="M41" s="26"/>
      <c r="N41" s="26"/>
    </row>
    <row r="42" spans="8:42" x14ac:dyDescent="0.25">
      <c r="I42" s="26"/>
      <c r="J42" s="26"/>
      <c r="K42" s="26"/>
      <c r="L42" s="26"/>
      <c r="M42" s="26"/>
      <c r="N42" s="26"/>
    </row>
    <row r="43" spans="8:42" x14ac:dyDescent="0.25">
      <c r="I43" s="26"/>
      <c r="J43" s="26"/>
      <c r="K43" s="26"/>
      <c r="L43" s="26"/>
      <c r="M43" s="26"/>
      <c r="N43" s="26"/>
    </row>
    <row r="44" spans="8:42" x14ac:dyDescent="0.25">
      <c r="I44" s="26"/>
      <c r="J44" s="26"/>
      <c r="K44" s="26"/>
      <c r="L44" s="26"/>
      <c r="M44" s="26"/>
      <c r="N44" s="26"/>
    </row>
    <row r="45" spans="8:42" x14ac:dyDescent="0.25">
      <c r="I45" s="26"/>
      <c r="J45" s="26"/>
      <c r="K45" s="26"/>
      <c r="L45" s="26"/>
      <c r="M45" s="26"/>
      <c r="N45" s="26"/>
    </row>
  </sheetData>
  <mergeCells count="5">
    <mergeCell ref="H1:X1"/>
    <mergeCell ref="Z1:AP1"/>
    <mergeCell ref="I21:J21"/>
    <mergeCell ref="H22:X22"/>
    <mergeCell ref="Z22:AP22"/>
  </mergeCells>
  <conditionalFormatting sqref="H40:N45 I3:X1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4:X39 O19 AA24:AP39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A3:AP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17EA4-470F-42A7-8795-588552A661ED}">
  <dimension ref="G5:P15"/>
  <sheetViews>
    <sheetView topLeftCell="B1" workbookViewId="0">
      <selection activeCell="K22" sqref="K22"/>
    </sheetView>
  </sheetViews>
  <sheetFormatPr defaultRowHeight="13.5" x14ac:dyDescent="0.25"/>
  <cols>
    <col min="1" max="6" width="9.140625" style="1"/>
    <col min="7" max="7" width="29.7109375" style="1" bestFit="1" customWidth="1"/>
    <col min="8" max="8" width="9.5703125" style="1" bestFit="1" customWidth="1"/>
    <col min="9" max="9" width="13.5703125" style="1" bestFit="1" customWidth="1"/>
    <col min="10" max="10" width="7.28515625" style="1" bestFit="1" customWidth="1"/>
    <col min="11" max="11" width="7.85546875" style="1" bestFit="1" customWidth="1"/>
    <col min="12" max="13" width="6.140625" style="1" bestFit="1" customWidth="1"/>
    <col min="14" max="14" width="8.5703125" style="1" bestFit="1" customWidth="1"/>
    <col min="15" max="15" width="10.7109375" style="1" bestFit="1" customWidth="1"/>
    <col min="16" max="16" width="7.140625" style="1" bestFit="1" customWidth="1"/>
    <col min="17" max="16384" width="9.140625" style="1"/>
  </cols>
  <sheetData>
    <row r="5" spans="7:16" ht="15.75" x14ac:dyDescent="0.25">
      <c r="G5" s="3" t="s">
        <v>85</v>
      </c>
      <c r="H5" s="3"/>
      <c r="I5" s="3"/>
      <c r="J5" s="3"/>
      <c r="K5" s="3"/>
      <c r="L5" s="3"/>
      <c r="M5" s="3"/>
      <c r="N5" s="3"/>
      <c r="O5" s="3"/>
      <c r="P5" s="3"/>
    </row>
    <row r="6" spans="7:16" ht="31.5" x14ac:dyDescent="0.25">
      <c r="G6" s="29" t="s">
        <v>86</v>
      </c>
      <c r="H6" s="30" t="s">
        <v>87</v>
      </c>
      <c r="I6" s="30" t="s">
        <v>88</v>
      </c>
      <c r="J6" s="30" t="s">
        <v>89</v>
      </c>
      <c r="K6" s="30" t="s">
        <v>90</v>
      </c>
      <c r="L6" s="29" t="s">
        <v>91</v>
      </c>
      <c r="M6" s="31" t="s">
        <v>92</v>
      </c>
      <c r="N6" s="31" t="s">
        <v>93</v>
      </c>
      <c r="O6" s="31" t="s">
        <v>94</v>
      </c>
      <c r="P6" s="31" t="s">
        <v>95</v>
      </c>
    </row>
    <row r="7" spans="7:16" ht="15.75" x14ac:dyDescent="0.25">
      <c r="G7" s="32" t="s">
        <v>96</v>
      </c>
      <c r="H7" s="33">
        <v>1271.56</v>
      </c>
      <c r="I7" s="34">
        <v>1.3580000000000001</v>
      </c>
      <c r="J7" s="34">
        <v>104</v>
      </c>
      <c r="K7" s="34" t="s">
        <v>97</v>
      </c>
      <c r="L7" s="35">
        <v>0.76500000000000001</v>
      </c>
      <c r="M7" s="35">
        <v>0.79600000000000004</v>
      </c>
      <c r="N7" s="35">
        <v>0.109</v>
      </c>
      <c r="O7" s="34" t="s">
        <v>98</v>
      </c>
      <c r="P7" s="35">
        <v>8.1000000000000003E-2</v>
      </c>
    </row>
    <row r="8" spans="7:16" ht="15.75" x14ac:dyDescent="0.25">
      <c r="G8" s="32" t="s">
        <v>99</v>
      </c>
      <c r="H8" s="33">
        <v>785.38499999999999</v>
      </c>
      <c r="I8" s="33">
        <v>1.33</v>
      </c>
      <c r="J8" s="34">
        <v>103</v>
      </c>
      <c r="K8" s="34" t="s">
        <v>97</v>
      </c>
      <c r="L8" s="35">
        <v>0.86099999999999999</v>
      </c>
      <c r="M8" s="35">
        <v>0.88100000000000001</v>
      </c>
      <c r="N8" s="35">
        <v>8.4000000000000005E-2</v>
      </c>
      <c r="O8" s="34" t="s">
        <v>100</v>
      </c>
      <c r="P8" s="35">
        <v>5.7000000000000002E-2</v>
      </c>
    </row>
    <row r="9" spans="7:16" ht="15.75" x14ac:dyDescent="0.25">
      <c r="G9" s="32" t="s">
        <v>101</v>
      </c>
      <c r="H9" s="33">
        <v>361.70100000000002</v>
      </c>
      <c r="I9" s="34">
        <v>1.3160000000000001</v>
      </c>
      <c r="J9" s="34">
        <v>99</v>
      </c>
      <c r="K9" s="34" t="s">
        <v>97</v>
      </c>
      <c r="L9" s="35">
        <v>0.94399999999999995</v>
      </c>
      <c r="M9" s="35">
        <v>0.95399999999999996</v>
      </c>
      <c r="N9" s="35">
        <v>5.2999999999999999E-2</v>
      </c>
      <c r="O9" s="34" t="s">
        <v>102</v>
      </c>
      <c r="P9" s="35">
        <v>3.5999999999999997E-2</v>
      </c>
    </row>
    <row r="10" spans="7:16" ht="15.75" x14ac:dyDescent="0.25">
      <c r="G10" s="32"/>
      <c r="H10" s="33"/>
      <c r="I10" s="34"/>
      <c r="J10" s="34"/>
      <c r="K10" s="34"/>
      <c r="L10" s="35"/>
      <c r="M10" s="35"/>
      <c r="N10" s="35"/>
      <c r="O10" s="34"/>
      <c r="P10" s="35"/>
    </row>
    <row r="11" spans="7:16" ht="31.5" x14ac:dyDescent="0.25">
      <c r="G11" s="36" t="s">
        <v>103</v>
      </c>
      <c r="H11" s="30" t="s">
        <v>87</v>
      </c>
      <c r="I11" s="37" t="s">
        <v>88</v>
      </c>
      <c r="J11" s="30" t="s">
        <v>89</v>
      </c>
      <c r="K11" s="30" t="s">
        <v>90</v>
      </c>
      <c r="L11" s="38" t="s">
        <v>91</v>
      </c>
      <c r="M11" s="38" t="s">
        <v>92</v>
      </c>
      <c r="N11" s="38" t="s">
        <v>93</v>
      </c>
      <c r="O11" s="38" t="s">
        <v>94</v>
      </c>
      <c r="P11" s="38" t="s">
        <v>95</v>
      </c>
    </row>
    <row r="12" spans="7:16" ht="15.75" x14ac:dyDescent="0.25">
      <c r="G12" s="32" t="s">
        <v>96</v>
      </c>
      <c r="H12" s="39">
        <v>1726.231</v>
      </c>
      <c r="I12" s="34">
        <v>0.753</v>
      </c>
      <c r="J12" s="34">
        <v>104</v>
      </c>
      <c r="K12" s="34" t="s">
        <v>97</v>
      </c>
      <c r="L12" s="35">
        <v>0.90800000000000003</v>
      </c>
      <c r="M12" s="35">
        <v>0.92100000000000004</v>
      </c>
      <c r="N12" s="35">
        <v>0.129</v>
      </c>
      <c r="O12" s="34" t="s">
        <v>104</v>
      </c>
      <c r="P12" s="35">
        <v>9.6000000000000002E-2</v>
      </c>
    </row>
    <row r="13" spans="7:16" ht="15.75" x14ac:dyDescent="0.25">
      <c r="G13" s="32" t="s">
        <v>99</v>
      </c>
      <c r="H13" s="39">
        <v>1060.7550000000001</v>
      </c>
      <c r="I13" s="33">
        <v>0.71</v>
      </c>
      <c r="J13" s="34">
        <v>103</v>
      </c>
      <c r="K13" s="34" t="s">
        <v>97</v>
      </c>
      <c r="L13" s="35">
        <v>0.94499999999999995</v>
      </c>
      <c r="M13" s="35">
        <v>0.95299999999999996</v>
      </c>
      <c r="N13" s="35">
        <v>9.9000000000000005E-2</v>
      </c>
      <c r="O13" s="34" t="s">
        <v>105</v>
      </c>
      <c r="P13" s="35">
        <v>6.6000000000000003E-2</v>
      </c>
    </row>
    <row r="14" spans="7:16" ht="15.75" x14ac:dyDescent="0.25">
      <c r="G14" s="32" t="s">
        <v>101</v>
      </c>
      <c r="H14" s="33">
        <v>383.51600000000002</v>
      </c>
      <c r="I14" s="33">
        <v>0.64</v>
      </c>
      <c r="J14" s="34">
        <v>99</v>
      </c>
      <c r="K14" s="34" t="s">
        <v>97</v>
      </c>
      <c r="L14" s="35">
        <v>0.98299999999999998</v>
      </c>
      <c r="M14" s="35">
        <v>0.98599999999999999</v>
      </c>
      <c r="N14" s="35">
        <v>5.5E-2</v>
      </c>
      <c r="O14" s="34" t="s">
        <v>106</v>
      </c>
      <c r="P14" s="35">
        <v>3.9E-2</v>
      </c>
    </row>
    <row r="15" spans="7:16" ht="15.75" x14ac:dyDescent="0.25">
      <c r="G15" s="11"/>
      <c r="H15" s="40"/>
      <c r="I15" s="11"/>
      <c r="J15" s="11"/>
      <c r="K15" s="11"/>
      <c r="L15" s="11"/>
      <c r="M15" s="11"/>
      <c r="N15" s="11"/>
      <c r="O15" s="11"/>
      <c r="P15" s="11"/>
    </row>
  </sheetData>
  <mergeCells count="1">
    <mergeCell ref="G5:P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67C42-C184-4338-89EF-2BDBDB0AE65D}">
  <dimension ref="K3:AA35"/>
  <sheetViews>
    <sheetView topLeftCell="K1" workbookViewId="0">
      <selection activeCell="U27" sqref="U27"/>
    </sheetView>
  </sheetViews>
  <sheetFormatPr defaultRowHeight="13.5" x14ac:dyDescent="0.25"/>
  <cols>
    <col min="1" max="10" width="9.140625" style="1"/>
    <col min="11" max="11" width="30" style="1" bestFit="1" customWidth="1"/>
    <col min="12" max="12" width="9.140625" style="1"/>
    <col min="13" max="13" width="14.7109375" style="1" bestFit="1" customWidth="1"/>
    <col min="14" max="14" width="9.140625" style="1"/>
    <col min="15" max="15" width="12.42578125" style="1" bestFit="1" customWidth="1"/>
    <col min="16" max="16" width="9.140625" style="1"/>
    <col min="17" max="17" width="14.7109375" style="1" bestFit="1" customWidth="1"/>
    <col min="18" max="18" width="9.140625" style="1"/>
    <col min="19" max="19" width="12.42578125" style="1" bestFit="1" customWidth="1"/>
    <col min="20" max="20" width="9.140625" style="1"/>
    <col min="21" max="21" width="14.7109375" style="1" bestFit="1" customWidth="1"/>
    <col min="22" max="22" width="9.140625" style="1"/>
    <col min="23" max="23" width="12.42578125" style="1" bestFit="1" customWidth="1"/>
    <col min="24" max="24" width="9.140625" style="1"/>
    <col min="25" max="25" width="14.7109375" style="1" bestFit="1" customWidth="1"/>
    <col min="26" max="26" width="9.140625" style="1"/>
    <col min="27" max="27" width="12.42578125" style="1" bestFit="1" customWidth="1"/>
    <col min="28" max="29" width="9.140625" style="1"/>
    <col min="30" max="30" width="9.28515625" style="1" bestFit="1" customWidth="1"/>
    <col min="31" max="31" width="9.140625" style="1"/>
    <col min="32" max="33" width="6.140625" style="1" bestFit="1" customWidth="1"/>
    <col min="34" max="16384" width="9.140625" style="1"/>
  </cols>
  <sheetData>
    <row r="3" spans="11:27" ht="15.75" x14ac:dyDescent="0.25">
      <c r="K3" s="3" t="s">
        <v>107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1:27" ht="18.75" customHeight="1" x14ac:dyDescent="0.25">
      <c r="K4" s="41" t="s">
        <v>108</v>
      </c>
      <c r="L4" s="42"/>
      <c r="M4" s="43" t="s">
        <v>109</v>
      </c>
      <c r="N4" s="43"/>
      <c r="O4" s="43"/>
      <c r="P4" s="42"/>
      <c r="Q4" s="43" t="s">
        <v>110</v>
      </c>
      <c r="R4" s="43"/>
      <c r="S4" s="43"/>
      <c r="T4" s="42"/>
      <c r="U4" s="43" t="s">
        <v>111</v>
      </c>
      <c r="V4" s="43"/>
      <c r="W4" s="43"/>
      <c r="X4" s="42"/>
      <c r="Y4" s="43" t="s">
        <v>112</v>
      </c>
      <c r="Z4" s="44"/>
      <c r="AA4" s="44"/>
    </row>
    <row r="5" spans="11:27" ht="15.75" x14ac:dyDescent="0.25">
      <c r="K5" s="45"/>
      <c r="L5" s="44"/>
      <c r="M5" s="46"/>
      <c r="N5" s="46"/>
      <c r="O5" s="46"/>
      <c r="P5" s="44"/>
      <c r="Q5" s="46"/>
      <c r="R5" s="46"/>
      <c r="S5" s="46"/>
      <c r="T5" s="44"/>
      <c r="U5" s="46"/>
      <c r="V5" s="46"/>
      <c r="W5" s="46"/>
      <c r="X5" s="44"/>
      <c r="Y5" s="46"/>
      <c r="Z5" s="47"/>
      <c r="AA5" s="47"/>
    </row>
    <row r="6" spans="11:27" ht="15.75" x14ac:dyDescent="0.25">
      <c r="K6" s="6" t="s">
        <v>113</v>
      </c>
      <c r="L6" s="48"/>
      <c r="M6" s="49" t="s">
        <v>114</v>
      </c>
      <c r="N6" s="49" t="s">
        <v>115</v>
      </c>
      <c r="O6" s="49" t="s">
        <v>116</v>
      </c>
      <c r="P6" s="44"/>
      <c r="Q6" s="49" t="s">
        <v>114</v>
      </c>
      <c r="R6" s="49" t="s">
        <v>115</v>
      </c>
      <c r="S6" s="49" t="s">
        <v>116</v>
      </c>
      <c r="T6" s="44"/>
      <c r="U6" s="49" t="s">
        <v>114</v>
      </c>
      <c r="V6" s="49" t="s">
        <v>115</v>
      </c>
      <c r="W6" s="49" t="s">
        <v>116</v>
      </c>
      <c r="X6" s="44"/>
      <c r="Y6" s="49" t="s">
        <v>117</v>
      </c>
    </row>
    <row r="7" spans="11:27" ht="15.75" x14ac:dyDescent="0.25">
      <c r="K7" s="5" t="s">
        <v>5</v>
      </c>
      <c r="L7" s="48"/>
      <c r="M7" s="50">
        <v>0.58899999999999997</v>
      </c>
      <c r="N7" s="50">
        <v>3.2000000000000001E-2</v>
      </c>
      <c r="O7" s="50">
        <v>0.56699999999999995</v>
      </c>
      <c r="P7" s="48"/>
      <c r="Q7" s="50">
        <v>2.2400000000000002</v>
      </c>
      <c r="R7" s="50">
        <v>3.4000000000000002E-2</v>
      </c>
      <c r="S7" s="50">
        <v>2.1560000000000001</v>
      </c>
      <c r="T7" s="48"/>
      <c r="U7" s="50">
        <v>0.73299999999999998</v>
      </c>
      <c r="V7" s="50">
        <v>3.6999999999999998E-2</v>
      </c>
      <c r="W7" s="50">
        <v>0.67900000000000005</v>
      </c>
      <c r="X7" s="48"/>
      <c r="Y7" s="50">
        <v>0.32100000000000001</v>
      </c>
    </row>
    <row r="8" spans="11:27" ht="15.75" x14ac:dyDescent="0.25">
      <c r="K8" s="5" t="s">
        <v>7</v>
      </c>
      <c r="L8" s="48"/>
      <c r="M8" s="50">
        <v>0.69299999999999995</v>
      </c>
      <c r="N8" s="50">
        <v>0.03</v>
      </c>
      <c r="O8" s="50">
        <v>0.68600000000000005</v>
      </c>
      <c r="P8" s="48"/>
      <c r="Q8" s="50">
        <v>1.87</v>
      </c>
      <c r="R8" s="50">
        <v>3.3000000000000002E-2</v>
      </c>
      <c r="S8" s="50">
        <v>1.8520000000000001</v>
      </c>
      <c r="T8" s="48"/>
      <c r="U8" s="50">
        <v>0.54</v>
      </c>
      <c r="V8" s="50">
        <v>3.3000000000000002E-2</v>
      </c>
      <c r="W8" s="50">
        <v>0.52900000000000003</v>
      </c>
      <c r="X8" s="48"/>
      <c r="Y8" s="50">
        <v>0.47099999999999997</v>
      </c>
    </row>
    <row r="9" spans="11:27" ht="15.75" x14ac:dyDescent="0.25">
      <c r="K9" s="5" t="s">
        <v>9</v>
      </c>
      <c r="L9" s="48"/>
      <c r="M9" s="50">
        <v>0.69199999999999995</v>
      </c>
      <c r="N9" s="50">
        <v>3.1E-2</v>
      </c>
      <c r="O9" s="50">
        <v>0.68500000000000005</v>
      </c>
      <c r="P9" s="48"/>
      <c r="Q9" s="50">
        <v>1.841</v>
      </c>
      <c r="R9" s="50">
        <v>3.3000000000000002E-2</v>
      </c>
      <c r="S9" s="50">
        <v>1.823</v>
      </c>
      <c r="T9" s="48"/>
      <c r="U9" s="50">
        <v>0.54100000000000004</v>
      </c>
      <c r="V9" s="50">
        <v>3.3000000000000002E-2</v>
      </c>
      <c r="W9" s="50">
        <v>0.53</v>
      </c>
      <c r="X9" s="48"/>
      <c r="Y9" s="50">
        <v>0.47</v>
      </c>
    </row>
    <row r="10" spans="11:27" ht="15.75" x14ac:dyDescent="0.25">
      <c r="K10" s="5" t="s">
        <v>11</v>
      </c>
      <c r="L10" s="48"/>
      <c r="M10" s="50">
        <v>0.82099999999999995</v>
      </c>
      <c r="N10" s="50">
        <v>2.8000000000000001E-2</v>
      </c>
      <c r="O10" s="50">
        <v>0.74299999999999999</v>
      </c>
      <c r="P10" s="48"/>
      <c r="Q10" s="50">
        <v>2.105</v>
      </c>
      <c r="R10" s="50">
        <v>3.5999999999999997E-2</v>
      </c>
      <c r="S10" s="50">
        <v>1.905</v>
      </c>
      <c r="T10" s="48"/>
      <c r="U10" s="50">
        <v>0.54600000000000004</v>
      </c>
      <c r="V10" s="50">
        <v>3.6999999999999998E-2</v>
      </c>
      <c r="W10" s="50">
        <v>0.44800000000000001</v>
      </c>
      <c r="X10" s="48"/>
      <c r="Y10" s="50">
        <v>0.55200000000000005</v>
      </c>
    </row>
    <row r="11" spans="11:27" ht="15.75" x14ac:dyDescent="0.25">
      <c r="K11" s="5" t="s">
        <v>13</v>
      </c>
      <c r="L11" s="48"/>
      <c r="M11" s="50">
        <v>0.74099999999999999</v>
      </c>
      <c r="N11" s="50">
        <v>2.9000000000000001E-2</v>
      </c>
      <c r="O11" s="50">
        <v>0.749</v>
      </c>
      <c r="P11" s="48"/>
      <c r="Q11" s="50">
        <v>1.843</v>
      </c>
      <c r="R11" s="50">
        <v>3.2000000000000001E-2</v>
      </c>
      <c r="S11" s="50">
        <v>1.863</v>
      </c>
      <c r="T11" s="48"/>
      <c r="U11" s="50">
        <v>0.42899999999999999</v>
      </c>
      <c r="V11" s="50">
        <v>2.8000000000000001E-2</v>
      </c>
      <c r="W11" s="50">
        <v>0.438</v>
      </c>
      <c r="X11" s="48"/>
      <c r="Y11" s="50">
        <v>0.56200000000000006</v>
      </c>
    </row>
    <row r="12" spans="11:27" ht="15.75" x14ac:dyDescent="0.25">
      <c r="K12" s="5" t="s">
        <v>15</v>
      </c>
      <c r="L12" s="48"/>
      <c r="M12" s="50">
        <v>0.86899999999999999</v>
      </c>
      <c r="N12" s="50">
        <v>2.3E-2</v>
      </c>
      <c r="O12" s="50">
        <v>0.79300000000000004</v>
      </c>
      <c r="P12" s="48"/>
      <c r="Q12" s="50">
        <v>2.4390000000000001</v>
      </c>
      <c r="R12" s="50">
        <v>3.5999999999999997E-2</v>
      </c>
      <c r="S12" s="50">
        <v>2.226</v>
      </c>
      <c r="T12" s="48"/>
      <c r="U12" s="50">
        <v>0.44600000000000001</v>
      </c>
      <c r="V12" s="50">
        <v>2.8000000000000001E-2</v>
      </c>
      <c r="W12" s="50">
        <v>0.371</v>
      </c>
      <c r="X12" s="48"/>
      <c r="Y12" s="50">
        <v>0.629</v>
      </c>
    </row>
    <row r="13" spans="11:27" ht="15.75" x14ac:dyDescent="0.25">
      <c r="K13" s="5" t="s">
        <v>17</v>
      </c>
      <c r="L13" s="48"/>
      <c r="M13" s="50">
        <v>0.94099999999999995</v>
      </c>
      <c r="N13" s="50">
        <v>2.3E-2</v>
      </c>
      <c r="O13" s="50">
        <v>0.82699999999999996</v>
      </c>
      <c r="P13" s="48"/>
      <c r="Q13" s="50">
        <v>2.33</v>
      </c>
      <c r="R13" s="50">
        <v>3.6999999999999998E-2</v>
      </c>
      <c r="S13" s="50">
        <v>2.0489999999999999</v>
      </c>
      <c r="T13" s="48"/>
      <c r="U13" s="50">
        <v>0.40799999999999997</v>
      </c>
      <c r="V13" s="50">
        <v>0.03</v>
      </c>
      <c r="W13" s="50">
        <v>0.316</v>
      </c>
      <c r="X13" s="48"/>
      <c r="Y13" s="50">
        <v>0.68400000000000005</v>
      </c>
    </row>
    <row r="14" spans="11:27" ht="15.75" x14ac:dyDescent="0.25">
      <c r="K14" s="5" t="s">
        <v>19</v>
      </c>
      <c r="L14" s="48"/>
      <c r="M14" s="50">
        <v>0.91900000000000004</v>
      </c>
      <c r="N14" s="50">
        <v>2.3E-2</v>
      </c>
      <c r="O14" s="50">
        <v>0.85099999999999998</v>
      </c>
      <c r="P14" s="48"/>
      <c r="Q14" s="50">
        <v>2.0779999999999998</v>
      </c>
      <c r="R14" s="50">
        <v>3.5000000000000003E-2</v>
      </c>
      <c r="S14" s="50">
        <v>1.9259999999999999</v>
      </c>
      <c r="T14" s="48"/>
      <c r="U14" s="50">
        <v>0.32</v>
      </c>
      <c r="V14" s="50">
        <v>2.4E-2</v>
      </c>
      <c r="W14" s="50">
        <v>0.27500000000000002</v>
      </c>
      <c r="X14" s="48"/>
      <c r="Y14" s="50">
        <v>0.72499999999999998</v>
      </c>
    </row>
    <row r="15" spans="11:27" ht="15.75" x14ac:dyDescent="0.25">
      <c r="K15" s="5" t="s">
        <v>21</v>
      </c>
      <c r="L15" s="48"/>
      <c r="M15" s="50">
        <v>0.629</v>
      </c>
      <c r="N15" s="50">
        <v>4.2999999999999997E-2</v>
      </c>
      <c r="O15" s="50">
        <v>0.60799999999999998</v>
      </c>
      <c r="P15" s="48"/>
      <c r="Q15" s="50">
        <v>2.2850000000000001</v>
      </c>
      <c r="R15" s="50">
        <v>3.4000000000000002E-2</v>
      </c>
      <c r="S15" s="50">
        <v>2.2080000000000002</v>
      </c>
      <c r="T15" s="48"/>
      <c r="U15" s="50">
        <v>0.45400000000000001</v>
      </c>
      <c r="V15" s="50">
        <v>2.5999999999999999E-2</v>
      </c>
      <c r="W15" s="50">
        <v>0.42399999999999999</v>
      </c>
      <c r="X15" s="48"/>
      <c r="Y15" s="50">
        <v>0.57599999999999996</v>
      </c>
    </row>
    <row r="16" spans="11:27" ht="15.75" x14ac:dyDescent="0.25">
      <c r="K16" s="5" t="s">
        <v>23</v>
      </c>
      <c r="L16" s="48"/>
      <c r="M16" s="50">
        <v>0.20899999999999999</v>
      </c>
      <c r="N16" s="50">
        <v>4.1000000000000002E-2</v>
      </c>
      <c r="O16" s="50">
        <v>0.22800000000000001</v>
      </c>
      <c r="P16" s="48"/>
      <c r="Q16" s="50">
        <v>1.7</v>
      </c>
      <c r="R16" s="50">
        <v>0.03</v>
      </c>
      <c r="S16" s="50">
        <v>1.86</v>
      </c>
      <c r="T16" s="48"/>
      <c r="U16" s="50">
        <v>0.42099999999999999</v>
      </c>
      <c r="V16" s="50">
        <v>2.8000000000000001E-2</v>
      </c>
      <c r="W16" s="50">
        <v>0.504</v>
      </c>
      <c r="X16" s="48"/>
      <c r="Y16" s="50">
        <v>0.496</v>
      </c>
    </row>
    <row r="17" spans="11:25" ht="15.75" x14ac:dyDescent="0.25">
      <c r="K17" s="5"/>
      <c r="L17" s="48"/>
      <c r="M17" s="50"/>
      <c r="N17" s="50"/>
      <c r="O17" s="50"/>
      <c r="P17" s="48"/>
      <c r="Q17" s="50"/>
      <c r="R17" s="50"/>
      <c r="S17" s="50"/>
      <c r="T17" s="48"/>
      <c r="U17" s="50"/>
      <c r="V17" s="50"/>
      <c r="W17" s="50"/>
      <c r="X17" s="48"/>
      <c r="Y17" s="50"/>
    </row>
    <row r="18" spans="11:25" ht="15.75" x14ac:dyDescent="0.25">
      <c r="K18" s="6" t="s">
        <v>118</v>
      </c>
      <c r="L18" s="48"/>
      <c r="M18" s="50"/>
      <c r="N18" s="5"/>
      <c r="O18" s="5"/>
      <c r="P18" s="48"/>
      <c r="Q18" s="50"/>
      <c r="R18" s="5"/>
      <c r="S18" s="5"/>
      <c r="T18" s="48"/>
      <c r="U18" s="50"/>
      <c r="V18" s="5"/>
      <c r="W18" s="5"/>
      <c r="X18" s="48"/>
      <c r="Y18" s="50"/>
    </row>
    <row r="19" spans="11:25" ht="15.75" x14ac:dyDescent="0.25">
      <c r="K19" s="5" t="s">
        <v>25</v>
      </c>
      <c r="L19" s="48"/>
      <c r="M19" s="50">
        <v>0.621</v>
      </c>
      <c r="N19" s="50">
        <v>3.3000000000000002E-2</v>
      </c>
      <c r="O19" s="50">
        <v>0.76300000000000001</v>
      </c>
      <c r="P19" s="48"/>
      <c r="Q19" s="50">
        <v>1.486</v>
      </c>
      <c r="R19" s="50">
        <v>2.7E-2</v>
      </c>
      <c r="S19" s="50">
        <v>1.8260000000000001</v>
      </c>
      <c r="T19" s="48"/>
      <c r="U19" s="50">
        <v>0.27700000000000002</v>
      </c>
      <c r="V19" s="50">
        <v>2.3E-2</v>
      </c>
      <c r="W19" s="50">
        <v>0.41799999999999998</v>
      </c>
      <c r="X19" s="48"/>
      <c r="Y19" s="50">
        <v>0.58199999999999996</v>
      </c>
    </row>
    <row r="20" spans="11:25" ht="15.75" x14ac:dyDescent="0.25">
      <c r="K20" s="5" t="s">
        <v>27</v>
      </c>
      <c r="L20" s="48"/>
      <c r="M20" s="50">
        <v>0.46800000000000003</v>
      </c>
      <c r="N20" s="50">
        <v>3.6999999999999998E-2</v>
      </c>
      <c r="O20" s="50">
        <v>0.58699999999999997</v>
      </c>
      <c r="P20" s="48"/>
      <c r="Q20" s="50">
        <v>1.419</v>
      </c>
      <c r="R20" s="50">
        <v>2.5999999999999999E-2</v>
      </c>
      <c r="S20" s="50">
        <v>1.7769999999999999</v>
      </c>
      <c r="T20" s="48"/>
      <c r="U20" s="50">
        <v>0.41799999999999998</v>
      </c>
      <c r="V20" s="50">
        <v>3.2000000000000001E-2</v>
      </c>
      <c r="W20" s="50">
        <v>0.65600000000000003</v>
      </c>
      <c r="X20" s="48"/>
      <c r="Y20" s="50">
        <v>0.34399999999999997</v>
      </c>
    </row>
    <row r="21" spans="11:25" ht="15.75" x14ac:dyDescent="0.25">
      <c r="K21" s="5" t="s">
        <v>29</v>
      </c>
      <c r="L21" s="48"/>
      <c r="M21" s="50">
        <v>0.39500000000000002</v>
      </c>
      <c r="N21" s="50">
        <v>3.3000000000000002E-2</v>
      </c>
      <c r="O21" s="50">
        <v>0.50700000000000001</v>
      </c>
      <c r="P21" s="48"/>
      <c r="Q21" s="50">
        <v>1.496</v>
      </c>
      <c r="R21" s="50">
        <v>2.5000000000000001E-2</v>
      </c>
      <c r="S21" s="50">
        <v>1.92</v>
      </c>
      <c r="T21" s="48"/>
      <c r="U21" s="50">
        <v>0.45100000000000001</v>
      </c>
      <c r="V21" s="50">
        <v>3.3000000000000002E-2</v>
      </c>
      <c r="W21" s="50">
        <v>0.74299999999999999</v>
      </c>
      <c r="X21" s="48"/>
      <c r="Y21" s="50">
        <v>0.25700000000000001</v>
      </c>
    </row>
    <row r="22" spans="11:25" ht="15.75" x14ac:dyDescent="0.25">
      <c r="K22" s="5" t="s">
        <v>31</v>
      </c>
      <c r="L22" s="5"/>
      <c r="M22" s="50">
        <v>0.55100000000000005</v>
      </c>
      <c r="N22" s="50">
        <v>3.2000000000000001E-2</v>
      </c>
      <c r="O22" s="50">
        <v>0.63700000000000001</v>
      </c>
      <c r="P22" s="48"/>
      <c r="Q22" s="50">
        <v>1.7050000000000001</v>
      </c>
      <c r="R22" s="50">
        <v>2.8000000000000001E-2</v>
      </c>
      <c r="S22" s="50">
        <v>1.9710000000000001</v>
      </c>
      <c r="T22" s="48"/>
      <c r="U22" s="50">
        <v>0.44500000000000001</v>
      </c>
      <c r="V22" s="50">
        <v>3.1E-2</v>
      </c>
      <c r="W22" s="50">
        <v>0.59499999999999997</v>
      </c>
      <c r="X22" s="48"/>
      <c r="Y22" s="50">
        <v>0.40500000000000003</v>
      </c>
    </row>
    <row r="23" spans="11:25" ht="15.75" x14ac:dyDescent="0.25">
      <c r="K23" s="5" t="s">
        <v>33</v>
      </c>
      <c r="L23" s="5"/>
      <c r="M23" s="50">
        <v>0.42299999999999999</v>
      </c>
      <c r="N23" s="50">
        <v>3.3000000000000002E-2</v>
      </c>
      <c r="O23" s="50">
        <v>0.65500000000000003</v>
      </c>
      <c r="P23" s="5"/>
      <c r="Q23" s="50">
        <v>1.345</v>
      </c>
      <c r="R23" s="50">
        <v>2.1000000000000001E-2</v>
      </c>
      <c r="S23" s="50">
        <v>2.0819999999999999</v>
      </c>
      <c r="T23" s="5"/>
      <c r="U23" s="50">
        <v>0.23799999999999999</v>
      </c>
      <c r="V23" s="50">
        <v>2.1000000000000001E-2</v>
      </c>
      <c r="W23" s="50">
        <v>0.57099999999999995</v>
      </c>
      <c r="X23" s="5"/>
      <c r="Y23" s="50">
        <v>0.42899999999999999</v>
      </c>
    </row>
    <row r="24" spans="11:25" ht="15.75" x14ac:dyDescent="0.25">
      <c r="K24" s="5" t="s">
        <v>35</v>
      </c>
      <c r="L24" s="5"/>
      <c r="M24" s="50">
        <v>0.58499999999999996</v>
      </c>
      <c r="N24" s="50">
        <v>0.03</v>
      </c>
      <c r="O24" s="50">
        <v>0.67300000000000004</v>
      </c>
      <c r="P24" s="5"/>
      <c r="Q24" s="50">
        <v>1.6439999999999999</v>
      </c>
      <c r="R24" s="50">
        <v>2.8000000000000001E-2</v>
      </c>
      <c r="S24" s="50">
        <v>1.89</v>
      </c>
      <c r="T24" s="5"/>
      <c r="U24" s="50">
        <v>0.41399999999999998</v>
      </c>
      <c r="V24" s="50">
        <v>0.03</v>
      </c>
      <c r="W24" s="50">
        <v>0.54700000000000004</v>
      </c>
      <c r="X24" s="5"/>
      <c r="Y24" s="50">
        <v>0.45300000000000001</v>
      </c>
    </row>
    <row r="25" spans="11:25" ht="15.75" x14ac:dyDescent="0.25">
      <c r="K25" s="5" t="s">
        <v>119</v>
      </c>
      <c r="L25" s="5"/>
      <c r="M25" s="50"/>
      <c r="N25" s="50"/>
      <c r="O25" s="50"/>
      <c r="P25" s="5"/>
      <c r="Q25" s="50"/>
      <c r="R25" s="50"/>
      <c r="S25" s="50"/>
      <c r="T25" s="5"/>
      <c r="U25" s="50"/>
      <c r="V25" s="50"/>
      <c r="W25" s="50"/>
      <c r="X25" s="5"/>
      <c r="Y25" s="50"/>
    </row>
    <row r="26" spans="11:25" ht="15.75" x14ac:dyDescent="0.25">
      <c r="K26" s="5" t="s">
        <v>21</v>
      </c>
      <c r="L26" s="5"/>
      <c r="M26" s="50">
        <v>0.22</v>
      </c>
      <c r="N26" s="50">
        <v>4.3999999999999997E-2</v>
      </c>
      <c r="O26" s="50">
        <v>0.21299999999999999</v>
      </c>
      <c r="P26" s="5"/>
      <c r="Q26" s="50"/>
      <c r="R26" s="50"/>
      <c r="S26" s="50"/>
      <c r="T26" s="5"/>
      <c r="U26" s="50"/>
      <c r="V26" s="50"/>
      <c r="W26" s="50"/>
      <c r="X26" s="5"/>
      <c r="Y26" s="50"/>
    </row>
    <row r="27" spans="11:25" ht="15.75" x14ac:dyDescent="0.25">
      <c r="K27" s="5" t="s">
        <v>23</v>
      </c>
      <c r="L27" s="5"/>
      <c r="M27" s="50">
        <v>0.49299999999999999</v>
      </c>
      <c r="N27" s="50">
        <v>4.2000000000000003E-2</v>
      </c>
      <c r="O27" s="50">
        <v>0.53900000000000003</v>
      </c>
      <c r="P27" s="5"/>
      <c r="Q27" s="50"/>
      <c r="R27" s="50"/>
      <c r="S27" s="50"/>
      <c r="T27" s="5"/>
      <c r="U27" s="50"/>
      <c r="V27" s="50"/>
      <c r="W27" s="50"/>
      <c r="X27" s="5"/>
      <c r="Y27" s="50"/>
    </row>
    <row r="28" spans="11:25" ht="15.75" x14ac:dyDescent="0.25"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1:25" ht="15.75" x14ac:dyDescent="0.25"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1:25" ht="15.75" x14ac:dyDescent="0.25">
      <c r="K30" s="12" t="s">
        <v>120</v>
      </c>
      <c r="L30" s="12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1:25" ht="15.75" x14ac:dyDescent="0.25">
      <c r="K31" s="3"/>
      <c r="L31" s="3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1:25" ht="15.75" x14ac:dyDescent="0.25">
      <c r="K32" s="18"/>
      <c r="L32" s="5"/>
      <c r="M32" s="49" t="s">
        <v>114</v>
      </c>
      <c r="N32" s="49" t="s">
        <v>115</v>
      </c>
      <c r="O32" s="49" t="s">
        <v>116</v>
      </c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1:25" ht="15.75" x14ac:dyDescent="0.25">
      <c r="K33" s="5" t="s">
        <v>121</v>
      </c>
      <c r="L33" s="5"/>
      <c r="M33" s="50">
        <v>0.623</v>
      </c>
      <c r="N33" s="50">
        <v>2.7E-2</v>
      </c>
      <c r="O33" s="50">
        <v>0.623</v>
      </c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1:25" ht="15.75" x14ac:dyDescent="0.25">
      <c r="K34" s="5" t="s">
        <v>122</v>
      </c>
      <c r="L34" s="5"/>
      <c r="M34" s="50">
        <v>0.26900000000000002</v>
      </c>
      <c r="N34" s="50">
        <v>2.9000000000000001E-2</v>
      </c>
      <c r="O34" s="50">
        <v>0.498</v>
      </c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1:25" ht="15.75" x14ac:dyDescent="0.25">
      <c r="K35" s="5" t="s">
        <v>123</v>
      </c>
      <c r="L35" s="5"/>
      <c r="M35" s="50">
        <v>0.151</v>
      </c>
      <c r="N35" s="50">
        <v>2.3E-2</v>
      </c>
      <c r="O35" s="50">
        <v>0.35399999999999998</v>
      </c>
      <c r="P35" s="5"/>
      <c r="Q35" s="5"/>
      <c r="R35" s="5"/>
      <c r="S35" s="5"/>
      <c r="T35" s="5"/>
      <c r="U35" s="5"/>
      <c r="V35" s="5"/>
      <c r="W35" s="5"/>
      <c r="X35" s="5"/>
      <c r="Y35" s="5"/>
    </row>
  </sheetData>
  <mergeCells count="7">
    <mergeCell ref="K30:L31"/>
    <mergeCell ref="K3:Y3"/>
    <mergeCell ref="K4:K5"/>
    <mergeCell ref="M4:O5"/>
    <mergeCell ref="Q4:S5"/>
    <mergeCell ref="U4:W5"/>
    <mergeCell ref="Y4:Y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F245-F195-496F-99F8-09673B031935}">
  <dimension ref="D2:V41"/>
  <sheetViews>
    <sheetView topLeftCell="C1" workbookViewId="0">
      <selection activeCell="N27" sqref="N27"/>
    </sheetView>
  </sheetViews>
  <sheetFormatPr defaultRowHeight="13.5" x14ac:dyDescent="0.25"/>
  <cols>
    <col min="1" max="3" width="9.140625" style="1"/>
    <col min="4" max="4" width="28.7109375" style="1" bestFit="1" customWidth="1"/>
    <col min="5" max="16384" width="9.140625" style="1"/>
  </cols>
  <sheetData>
    <row r="2" spans="4:22" ht="15.75" x14ac:dyDescent="0.25">
      <c r="D2" s="3" t="s">
        <v>124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4:22" ht="15.75" x14ac:dyDescent="0.25">
      <c r="D3" s="51" t="s">
        <v>125</v>
      </c>
      <c r="E3" s="52"/>
      <c r="F3" s="51" t="s">
        <v>126</v>
      </c>
      <c r="G3" s="51"/>
      <c r="H3" s="52"/>
      <c r="I3" s="53" t="s">
        <v>127</v>
      </c>
      <c r="J3" s="53"/>
      <c r="K3" s="53"/>
      <c r="L3" s="53"/>
      <c r="M3" s="52"/>
      <c r="N3" s="53" t="s">
        <v>128</v>
      </c>
      <c r="O3" s="53"/>
      <c r="P3" s="53"/>
      <c r="Q3" s="53"/>
      <c r="R3" s="52"/>
      <c r="S3" s="53" t="s">
        <v>129</v>
      </c>
      <c r="T3" s="53"/>
      <c r="U3" s="53"/>
      <c r="V3" s="53"/>
    </row>
    <row r="4" spans="4:22" ht="15.75" x14ac:dyDescent="0.25">
      <c r="D4" s="54"/>
      <c r="E4" s="55"/>
      <c r="F4" s="56"/>
      <c r="G4" s="56"/>
      <c r="H4" s="55"/>
      <c r="I4" s="57" t="s">
        <v>130</v>
      </c>
      <c r="J4" s="57"/>
      <c r="K4" s="57" t="s">
        <v>131</v>
      </c>
      <c r="L4" s="57"/>
      <c r="M4" s="55"/>
      <c r="N4" s="58" t="s">
        <v>130</v>
      </c>
      <c r="O4" s="58"/>
      <c r="P4" s="58" t="s">
        <v>131</v>
      </c>
      <c r="Q4" s="58"/>
      <c r="R4" s="55"/>
      <c r="S4" s="58" t="s">
        <v>130</v>
      </c>
      <c r="T4" s="58"/>
      <c r="U4" s="58" t="s">
        <v>131</v>
      </c>
      <c r="V4" s="58"/>
    </row>
    <row r="5" spans="4:22" ht="15.75" x14ac:dyDescent="0.25">
      <c r="D5" s="56"/>
      <c r="E5" s="55"/>
      <c r="F5" s="59" t="s">
        <v>117</v>
      </c>
      <c r="G5" s="59" t="s">
        <v>115</v>
      </c>
      <c r="H5" s="55"/>
      <c r="I5" s="59" t="s">
        <v>117</v>
      </c>
      <c r="J5" s="59" t="s">
        <v>115</v>
      </c>
      <c r="K5" s="59" t="s">
        <v>117</v>
      </c>
      <c r="L5" s="59" t="s">
        <v>115</v>
      </c>
      <c r="M5" s="55"/>
      <c r="N5" s="60" t="s">
        <v>117</v>
      </c>
      <c r="O5" s="60" t="s">
        <v>115</v>
      </c>
      <c r="P5" s="60" t="s">
        <v>117</v>
      </c>
      <c r="Q5" s="60" t="s">
        <v>115</v>
      </c>
      <c r="R5" s="55"/>
      <c r="S5" s="60" t="s">
        <v>117</v>
      </c>
      <c r="T5" s="60" t="s">
        <v>115</v>
      </c>
      <c r="U5" s="60" t="s">
        <v>117</v>
      </c>
      <c r="V5" s="60" t="s">
        <v>115</v>
      </c>
    </row>
    <row r="6" spans="4:22" ht="15.75" x14ac:dyDescent="0.25">
      <c r="D6" s="61" t="s">
        <v>113</v>
      </c>
      <c r="E6" s="62"/>
      <c r="F6" s="55"/>
      <c r="G6" s="55"/>
      <c r="H6" s="62"/>
      <c r="I6" s="55"/>
      <c r="J6" s="55"/>
      <c r="K6" s="55"/>
      <c r="L6" s="55"/>
      <c r="M6" s="62"/>
      <c r="N6" s="55"/>
      <c r="O6" s="55"/>
      <c r="P6" s="55"/>
      <c r="Q6" s="55"/>
      <c r="R6" s="62"/>
      <c r="S6" s="55"/>
      <c r="T6" s="55"/>
      <c r="U6" s="55"/>
      <c r="V6" s="55"/>
    </row>
    <row r="7" spans="4:22" ht="15.75" x14ac:dyDescent="0.25">
      <c r="D7" s="63" t="s">
        <v>5</v>
      </c>
      <c r="E7" s="62"/>
      <c r="F7" s="62">
        <v>1.4055342200000001</v>
      </c>
      <c r="G7" s="62">
        <v>9.3554487000000006E-2</v>
      </c>
      <c r="H7" s="62"/>
      <c r="I7" s="62">
        <v>1.33506418</v>
      </c>
      <c r="J7" s="62">
        <v>9.9669612000000005E-2</v>
      </c>
      <c r="K7" s="62">
        <v>-0.94986245000000002</v>
      </c>
      <c r="L7" s="62">
        <v>8.2290013999999995E-2</v>
      </c>
      <c r="M7" s="62"/>
      <c r="N7" s="62">
        <v>-0.983533455</v>
      </c>
      <c r="O7" s="62">
        <v>9.4264272999999996E-2</v>
      </c>
      <c r="P7" s="62">
        <v>0.69975774300000004</v>
      </c>
      <c r="Q7" s="62">
        <v>7.1449978999999997E-2</v>
      </c>
      <c r="R7" s="62"/>
      <c r="S7" s="62">
        <v>-2.0190002709999999</v>
      </c>
      <c r="T7" s="62">
        <v>0.113705765</v>
      </c>
      <c r="U7" s="62">
        <v>1.4364646830000001</v>
      </c>
      <c r="V7" s="62">
        <v>9.9796456000000006E-2</v>
      </c>
    </row>
    <row r="8" spans="4:22" ht="15.75" x14ac:dyDescent="0.25">
      <c r="D8" s="63" t="s">
        <v>7</v>
      </c>
      <c r="E8" s="62"/>
      <c r="F8" s="62">
        <v>3.2389301100000001</v>
      </c>
      <c r="G8" s="62">
        <v>0.21115589800000001</v>
      </c>
      <c r="H8" s="62"/>
      <c r="I8" s="62">
        <v>0.14009459099999999</v>
      </c>
      <c r="J8" s="62">
        <v>0.171830707</v>
      </c>
      <c r="K8" s="62"/>
      <c r="L8" s="62"/>
      <c r="M8" s="62"/>
      <c r="N8" s="62">
        <v>-2.951092386</v>
      </c>
      <c r="O8" s="62">
        <v>0.219269137</v>
      </c>
      <c r="P8" s="62"/>
      <c r="Q8" s="62"/>
      <c r="R8" s="62"/>
      <c r="S8" s="62">
        <v>-5.4203982819999998</v>
      </c>
      <c r="T8" s="62">
        <v>0.304679423</v>
      </c>
      <c r="U8" s="62"/>
      <c r="V8" s="62"/>
    </row>
    <row r="9" spans="4:22" ht="15.75" x14ac:dyDescent="0.25">
      <c r="D9" s="63" t="s">
        <v>9</v>
      </c>
      <c r="E9" s="62"/>
      <c r="F9" s="62">
        <v>3.3278294100000001</v>
      </c>
      <c r="G9" s="62">
        <v>0.217677343</v>
      </c>
      <c r="H9" s="62"/>
      <c r="I9" s="62">
        <v>-3.6911143E-2</v>
      </c>
      <c r="J9" s="62">
        <v>0.174791798</v>
      </c>
      <c r="K9" s="62"/>
      <c r="L9" s="62"/>
      <c r="M9" s="62"/>
      <c r="N9" s="62">
        <v>-3.101463436</v>
      </c>
      <c r="O9" s="62">
        <v>0.22612953399999999</v>
      </c>
      <c r="P9" s="62"/>
      <c r="Q9" s="62"/>
      <c r="R9" s="62"/>
      <c r="S9" s="62">
        <v>-5.4801325099999998</v>
      </c>
      <c r="T9" s="62">
        <v>0.30993243100000001</v>
      </c>
      <c r="U9" s="62"/>
      <c r="V9" s="62"/>
    </row>
    <row r="10" spans="4:22" ht="15.75" x14ac:dyDescent="0.25">
      <c r="D10" s="63" t="s">
        <v>11</v>
      </c>
      <c r="E10" s="62"/>
      <c r="F10" s="62">
        <v>2.36461269</v>
      </c>
      <c r="G10" s="62">
        <v>0.14344976400000001</v>
      </c>
      <c r="H10" s="62"/>
      <c r="I10" s="62">
        <v>0.76161352999999998</v>
      </c>
      <c r="J10" s="62">
        <v>0.11963325599999999</v>
      </c>
      <c r="K10" s="62">
        <v>-0.32208806699999998</v>
      </c>
      <c r="L10" s="62">
        <v>5.2025425E-2</v>
      </c>
      <c r="M10" s="62"/>
      <c r="N10" s="62">
        <v>-1.377713207</v>
      </c>
      <c r="O10" s="62">
        <v>0.12914162600000001</v>
      </c>
      <c r="P10" s="62">
        <v>0.58263799999999999</v>
      </c>
      <c r="Q10" s="62">
        <v>5.3089510999999999E-2</v>
      </c>
      <c r="R10" s="62"/>
      <c r="S10" s="62">
        <v>-2.7872301140000002</v>
      </c>
      <c r="T10" s="62">
        <v>0.16154257</v>
      </c>
      <c r="U10" s="62">
        <v>1.1787258549999999</v>
      </c>
      <c r="V10" s="62">
        <v>6.7900411999999993E-2</v>
      </c>
    </row>
    <row r="11" spans="4:22" ht="15.75" x14ac:dyDescent="0.25">
      <c r="D11" s="63" t="s">
        <v>13</v>
      </c>
      <c r="E11" s="62"/>
      <c r="F11" s="62">
        <v>2.51630705</v>
      </c>
      <c r="G11" s="62">
        <v>0.15637651899999999</v>
      </c>
      <c r="H11" s="62"/>
      <c r="I11" s="62">
        <v>0.107275404</v>
      </c>
      <c r="J11" s="62">
        <v>0.122040568</v>
      </c>
      <c r="K11" s="62">
        <v>-4.2632080000000003E-2</v>
      </c>
      <c r="L11" s="62">
        <v>4.8732785000000001E-2</v>
      </c>
      <c r="M11" s="62"/>
      <c r="N11" s="62">
        <v>-2.1934710119999998</v>
      </c>
      <c r="O11" s="62">
        <v>0.154012541</v>
      </c>
      <c r="P11" s="62">
        <v>0.87170244799999996</v>
      </c>
      <c r="Q11" s="62">
        <v>5.7780884999999997E-2</v>
      </c>
      <c r="R11" s="62"/>
      <c r="S11" s="62">
        <v>-4.009746056</v>
      </c>
      <c r="T11" s="62">
        <v>0.214741924</v>
      </c>
      <c r="U11" s="62">
        <v>1.5935042829999999</v>
      </c>
      <c r="V11" s="62">
        <v>8.1425451999999995E-2</v>
      </c>
    </row>
    <row r="12" spans="4:22" ht="15.75" x14ac:dyDescent="0.25">
      <c r="D12" s="63" t="s">
        <v>15</v>
      </c>
      <c r="E12" s="62"/>
      <c r="F12" s="62">
        <v>3.84867084</v>
      </c>
      <c r="G12" s="62">
        <v>0.23010826200000001</v>
      </c>
      <c r="H12" s="62"/>
      <c r="I12" s="62">
        <v>3.1369399869999999</v>
      </c>
      <c r="J12" s="62">
        <v>0.229661542</v>
      </c>
      <c r="K12" s="62"/>
      <c r="L12" s="62"/>
      <c r="M12" s="62"/>
      <c r="N12" s="62">
        <v>-0.85748898399999995</v>
      </c>
      <c r="O12" s="62">
        <v>0.181376914</v>
      </c>
      <c r="P12" s="62"/>
      <c r="Q12" s="62"/>
      <c r="R12" s="62"/>
      <c r="S12" s="62">
        <v>-3.199575222</v>
      </c>
      <c r="T12" s="62">
        <v>0.226922917</v>
      </c>
      <c r="U12" s="62"/>
      <c r="V12" s="62"/>
    </row>
    <row r="13" spans="4:22" ht="15.75" x14ac:dyDescent="0.25">
      <c r="D13" s="63" t="s">
        <v>17</v>
      </c>
      <c r="E13" s="62"/>
      <c r="F13" s="62">
        <v>4.3629324599999997</v>
      </c>
      <c r="G13" s="62">
        <v>0.27123107899999999</v>
      </c>
      <c r="H13" s="62"/>
      <c r="I13" s="62">
        <v>2.423119115</v>
      </c>
      <c r="J13" s="62">
        <v>0.22420409499999999</v>
      </c>
      <c r="K13" s="62"/>
      <c r="L13" s="62"/>
      <c r="M13" s="62"/>
      <c r="N13" s="62">
        <v>-1.289161657</v>
      </c>
      <c r="O13" s="62">
        <v>0.20453804</v>
      </c>
      <c r="P13" s="62"/>
      <c r="Q13" s="62"/>
      <c r="R13" s="62"/>
      <c r="S13" s="62">
        <v>-3.654549152</v>
      </c>
      <c r="T13" s="62">
        <v>0.26124618500000002</v>
      </c>
      <c r="U13" s="62"/>
      <c r="V13" s="62"/>
    </row>
    <row r="14" spans="4:22" ht="15.75" x14ac:dyDescent="0.25">
      <c r="D14" s="63" t="s">
        <v>19</v>
      </c>
      <c r="E14" s="62"/>
      <c r="F14" s="62">
        <v>3.7646199199999999</v>
      </c>
      <c r="G14" s="62">
        <v>0.24803145600000001</v>
      </c>
      <c r="H14" s="62"/>
      <c r="I14" s="62">
        <v>0.99748032600000003</v>
      </c>
      <c r="J14" s="62">
        <v>0.16905717200000001</v>
      </c>
      <c r="K14" s="62">
        <v>-0.26496176199999999</v>
      </c>
      <c r="L14" s="62">
        <v>4.5179994000000001E-2</v>
      </c>
      <c r="M14" s="62"/>
      <c r="N14" s="62">
        <v>-1.9337299999999999</v>
      </c>
      <c r="O14" s="62">
        <v>0.19416779100000001</v>
      </c>
      <c r="P14" s="62">
        <v>0.51365876099999996</v>
      </c>
      <c r="Q14" s="62">
        <v>4.5843566000000002E-2</v>
      </c>
      <c r="R14" s="62"/>
      <c r="S14" s="62">
        <v>-4.3907618739999998</v>
      </c>
      <c r="T14" s="62">
        <v>0.27996644199999998</v>
      </c>
      <c r="U14" s="62">
        <v>1.166322756</v>
      </c>
      <c r="V14" s="62">
        <v>5.7701252000000001E-2</v>
      </c>
    </row>
    <row r="15" spans="4:22" ht="15.75" x14ac:dyDescent="0.25">
      <c r="D15" s="63" t="s">
        <v>21</v>
      </c>
      <c r="E15" s="62"/>
      <c r="F15" s="62">
        <v>1.8549742600000001</v>
      </c>
      <c r="G15" s="62">
        <v>0.14844078899999999</v>
      </c>
      <c r="H15" s="62"/>
      <c r="I15" s="62">
        <v>1.951866189</v>
      </c>
      <c r="J15" s="62">
        <v>0.141424412</v>
      </c>
      <c r="K15" s="62"/>
      <c r="L15" s="62"/>
      <c r="M15" s="62"/>
      <c r="N15" s="62">
        <v>-1.0739183960000001</v>
      </c>
      <c r="O15" s="62">
        <v>0.12794860599999999</v>
      </c>
      <c r="P15" s="62"/>
      <c r="Q15" s="62"/>
      <c r="R15" s="62"/>
      <c r="S15" s="62">
        <v>-2.7992386740000001</v>
      </c>
      <c r="T15" s="62">
        <v>0.162710048</v>
      </c>
      <c r="U15" s="62"/>
      <c r="V15" s="62"/>
    </row>
    <row r="16" spans="4:22" ht="15.75" x14ac:dyDescent="0.25">
      <c r="D16" s="63" t="s">
        <v>23</v>
      </c>
      <c r="E16" s="62"/>
      <c r="F16" s="62">
        <v>0.68179381999999999</v>
      </c>
      <c r="G16" s="62">
        <v>0.128706089</v>
      </c>
      <c r="H16" s="62"/>
      <c r="I16" s="62">
        <v>-0.28704547000000002</v>
      </c>
      <c r="J16" s="62">
        <v>0.113543889</v>
      </c>
      <c r="K16" s="62"/>
      <c r="L16" s="62"/>
      <c r="M16" s="62"/>
      <c r="N16" s="62">
        <v>-2.6680926020000002</v>
      </c>
      <c r="O16" s="62">
        <v>0.16315038600000001</v>
      </c>
      <c r="P16" s="62"/>
      <c r="Q16" s="62"/>
      <c r="R16" s="62"/>
      <c r="S16" s="62">
        <v>-4.090346383</v>
      </c>
      <c r="T16" s="62">
        <v>0.21931183400000001</v>
      </c>
      <c r="U16" s="62"/>
      <c r="V16" s="62"/>
    </row>
    <row r="17" spans="4:22" ht="15.75" x14ac:dyDescent="0.25">
      <c r="D17" s="63"/>
      <c r="E17" s="62"/>
      <c r="F17" s="5"/>
      <c r="G17" s="5"/>
      <c r="H17" s="62"/>
      <c r="I17" s="5"/>
      <c r="J17" s="5"/>
      <c r="K17" s="5"/>
      <c r="L17" s="5"/>
      <c r="M17" s="62"/>
      <c r="N17" s="5"/>
      <c r="O17" s="5"/>
      <c r="P17" s="5"/>
      <c r="Q17" s="5"/>
      <c r="R17" s="62"/>
      <c r="S17" s="5"/>
      <c r="T17" s="5"/>
      <c r="U17" s="5"/>
      <c r="V17" s="5"/>
    </row>
    <row r="18" spans="4:22" ht="15.75" x14ac:dyDescent="0.25">
      <c r="D18" s="61" t="s">
        <v>118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</row>
    <row r="19" spans="4:22" ht="15.75" x14ac:dyDescent="0.25">
      <c r="D19" s="63" t="s">
        <v>25</v>
      </c>
      <c r="E19" s="62"/>
      <c r="F19" s="62">
        <v>2.8782650900000002</v>
      </c>
      <c r="G19" s="62">
        <v>0.23676427</v>
      </c>
      <c r="H19" s="62"/>
      <c r="I19" s="62">
        <v>-1.5161731620000001</v>
      </c>
      <c r="J19" s="62">
        <v>0.168529656</v>
      </c>
      <c r="K19" s="62">
        <v>0.52676633900000003</v>
      </c>
      <c r="L19" s="62">
        <v>4.9697605999999998E-2</v>
      </c>
      <c r="M19" s="62"/>
      <c r="N19" s="62">
        <v>-3.953346877</v>
      </c>
      <c r="O19" s="62">
        <v>0.27188927899999998</v>
      </c>
      <c r="P19" s="62">
        <v>1.3735172950000001</v>
      </c>
      <c r="Q19" s="62">
        <v>7.4341112000000001E-2</v>
      </c>
      <c r="R19" s="62"/>
      <c r="S19" s="62">
        <v>-5.8853271710000001</v>
      </c>
      <c r="T19" s="62">
        <v>0.39218518000000002</v>
      </c>
      <c r="U19" s="62">
        <v>2.0447481349999999</v>
      </c>
      <c r="V19" s="62">
        <v>0.10696228200000001</v>
      </c>
    </row>
    <row r="20" spans="4:22" ht="15.75" x14ac:dyDescent="0.25">
      <c r="D20" s="63" t="s">
        <v>27</v>
      </c>
      <c r="E20" s="62"/>
      <c r="F20" s="62">
        <v>1.5080784899999999</v>
      </c>
      <c r="G20" s="62">
        <v>0.12858658000000001</v>
      </c>
      <c r="H20" s="62"/>
      <c r="I20" s="62">
        <v>-1.3701227890000001</v>
      </c>
      <c r="J20" s="62">
        <v>0.11285917299999999</v>
      </c>
      <c r="K20" s="62">
        <v>0.90852220299999997</v>
      </c>
      <c r="L20" s="62">
        <v>7.7875425999999998E-2</v>
      </c>
      <c r="M20" s="62"/>
      <c r="N20" s="62">
        <v>-2.8543439240000001</v>
      </c>
      <c r="O20" s="62">
        <v>0.16024682200000001</v>
      </c>
      <c r="P20" s="62">
        <v>1.8927025019999999</v>
      </c>
      <c r="Q20" s="62">
        <v>0.13200448300000001</v>
      </c>
      <c r="R20" s="62"/>
      <c r="S20" s="62">
        <v>-4.0106664729999997</v>
      </c>
      <c r="T20" s="62">
        <v>0.21944524900000001</v>
      </c>
      <c r="U20" s="62">
        <v>2.6594547369999999</v>
      </c>
      <c r="V20" s="62">
        <v>0.186680504</v>
      </c>
    </row>
    <row r="21" spans="4:22" ht="15.75" x14ac:dyDescent="0.25">
      <c r="D21" s="63" t="s">
        <v>29</v>
      </c>
      <c r="E21" s="62"/>
      <c r="F21" s="62">
        <v>1.2885388799999999</v>
      </c>
      <c r="G21" s="62">
        <v>0.10884955</v>
      </c>
      <c r="H21" s="62"/>
      <c r="I21" s="62">
        <v>-0.80611681000000002</v>
      </c>
      <c r="J21" s="62">
        <v>9.3202394999999993E-2</v>
      </c>
      <c r="K21" s="62">
        <v>0.62560534300000004</v>
      </c>
      <c r="L21" s="62">
        <v>7.4567059000000005E-2</v>
      </c>
      <c r="M21" s="62"/>
      <c r="N21" s="62">
        <v>-2.6505602210000001</v>
      </c>
      <c r="O21" s="62">
        <v>0.140995958</v>
      </c>
      <c r="P21" s="62">
        <v>2.0570277350000001</v>
      </c>
      <c r="Q21" s="62">
        <v>0.15142810000000001</v>
      </c>
      <c r="R21" s="62"/>
      <c r="S21" s="62">
        <v>-4.1205700050000003</v>
      </c>
      <c r="T21" s="62">
        <v>0.21848827300000001</v>
      </c>
      <c r="U21" s="62">
        <v>3.1978623690000001</v>
      </c>
      <c r="V21" s="62">
        <v>0.24515349</v>
      </c>
    </row>
    <row r="22" spans="4:22" ht="15.75" x14ac:dyDescent="0.25">
      <c r="D22" s="63" t="s">
        <v>31</v>
      </c>
      <c r="E22" s="62"/>
      <c r="F22" s="62">
        <v>1.6993387200000001</v>
      </c>
      <c r="G22" s="62">
        <v>0.12321211999999999</v>
      </c>
      <c r="H22" s="62"/>
      <c r="I22" s="62">
        <v>-3.582631E-2</v>
      </c>
      <c r="J22" s="62">
        <v>9.7408469999999997E-2</v>
      </c>
      <c r="K22" s="62">
        <v>2.1082501E-2</v>
      </c>
      <c r="L22" s="62">
        <v>5.7208169000000003E-2</v>
      </c>
      <c r="M22" s="62"/>
      <c r="N22" s="62">
        <v>-2.5207816959999998</v>
      </c>
      <c r="O22" s="62">
        <v>0.145153167</v>
      </c>
      <c r="P22" s="62">
        <v>1.483389785</v>
      </c>
      <c r="Q22" s="62">
        <v>9.4916434999999993E-2</v>
      </c>
      <c r="R22" s="62"/>
      <c r="S22" s="62">
        <v>-3.8706332080000001</v>
      </c>
      <c r="T22" s="62">
        <v>0.20189626299999999</v>
      </c>
      <c r="U22" s="62">
        <v>2.277729076</v>
      </c>
      <c r="V22" s="62">
        <v>0.13965997899999999</v>
      </c>
    </row>
    <row r="23" spans="4:22" ht="15.75" x14ac:dyDescent="0.25">
      <c r="D23" s="63" t="s">
        <v>33</v>
      </c>
      <c r="E23" s="5"/>
      <c r="F23" s="62">
        <v>2.14874813</v>
      </c>
      <c r="G23" s="62">
        <v>0.173848</v>
      </c>
      <c r="H23" s="5"/>
      <c r="I23" s="62">
        <v>-1.6812135210000001</v>
      </c>
      <c r="J23" s="62">
        <v>0.14554187499999999</v>
      </c>
      <c r="K23" s="62">
        <v>0.78241535200000001</v>
      </c>
      <c r="L23" s="62">
        <v>6.0726662000000001E-2</v>
      </c>
      <c r="M23" s="5"/>
      <c r="N23" s="62">
        <v>-4.2691737720000003</v>
      </c>
      <c r="O23" s="62">
        <v>0.25543916799999999</v>
      </c>
      <c r="P23" s="62">
        <v>1.9868190779999999</v>
      </c>
      <c r="Q23" s="62">
        <v>0.11568661299999999</v>
      </c>
      <c r="R23" s="5"/>
      <c r="S23" s="62">
        <v>-6.1295617460000003</v>
      </c>
      <c r="T23" s="62">
        <v>0.389545629</v>
      </c>
      <c r="U23" s="62">
        <v>2.852619937</v>
      </c>
      <c r="V23" s="62">
        <v>0.18139593100000001</v>
      </c>
    </row>
    <row r="24" spans="4:22" ht="15.75" x14ac:dyDescent="0.25">
      <c r="D24" s="63" t="s">
        <v>35</v>
      </c>
      <c r="E24" s="5"/>
      <c r="F24" s="62">
        <v>1.9554666000000001</v>
      </c>
      <c r="G24" s="62">
        <v>0.1410313</v>
      </c>
      <c r="H24" s="5"/>
      <c r="I24" s="62">
        <v>-0.420341729</v>
      </c>
      <c r="J24" s="62">
        <v>0.1080581</v>
      </c>
      <c r="K24" s="62">
        <v>0.21495725299999999</v>
      </c>
      <c r="L24" s="62">
        <v>5.3912412E-2</v>
      </c>
      <c r="M24" s="5"/>
      <c r="N24" s="62">
        <v>-2.7035441640000002</v>
      </c>
      <c r="O24" s="62">
        <v>0.161659629</v>
      </c>
      <c r="P24" s="62">
        <v>1.382557067</v>
      </c>
      <c r="Q24" s="62">
        <v>8.4357785000000005E-2</v>
      </c>
      <c r="R24" s="5"/>
      <c r="S24" s="62">
        <v>-4.2880666649999997</v>
      </c>
      <c r="T24" s="62">
        <v>0.23191339399999999</v>
      </c>
      <c r="U24" s="62">
        <v>2.192861116</v>
      </c>
      <c r="V24" s="62">
        <v>0.12685111800000001</v>
      </c>
    </row>
    <row r="25" spans="4:22" ht="15.75" x14ac:dyDescent="0.25">
      <c r="D25" s="63" t="s">
        <v>132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spans="4:22" ht="15.75" x14ac:dyDescent="0.25">
      <c r="D26" s="63" t="s">
        <v>21</v>
      </c>
      <c r="E26" s="5"/>
      <c r="F26" s="62">
        <v>0.79355712</v>
      </c>
      <c r="G26" s="62">
        <v>0.13218028000000001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spans="4:22" ht="15.75" x14ac:dyDescent="0.25">
      <c r="D27" s="63" t="s">
        <v>23</v>
      </c>
      <c r="E27" s="5"/>
      <c r="F27" s="62">
        <v>1.6582415699999999</v>
      </c>
      <c r="G27" s="62">
        <v>0.16570948999999999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spans="4:22" ht="15.75" x14ac:dyDescent="0.25"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4:22" ht="15.75" x14ac:dyDescent="0.25"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4:22" ht="15.75" x14ac:dyDescent="0.25">
      <c r="D30" s="10" t="s">
        <v>133</v>
      </c>
      <c r="E30" s="5"/>
      <c r="F30" s="49" t="s">
        <v>117</v>
      </c>
      <c r="G30" s="49" t="s">
        <v>115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4:22" ht="15.75" x14ac:dyDescent="0.25">
      <c r="D31" s="5" t="s">
        <v>121</v>
      </c>
      <c r="E31" s="5"/>
      <c r="F31" s="50">
        <v>0.68119938300000005</v>
      </c>
      <c r="G31" s="50">
        <v>2.9612736000000001E-2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4:22" ht="15.75" x14ac:dyDescent="0.25">
      <c r="D32" s="5"/>
      <c r="E32" s="5"/>
      <c r="F32" s="50"/>
      <c r="G32" s="50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spans="4:22" ht="15.75" x14ac:dyDescent="0.25">
      <c r="D33" s="10" t="s">
        <v>134</v>
      </c>
      <c r="E33" s="5"/>
      <c r="F33" s="49" t="s">
        <v>117</v>
      </c>
      <c r="G33" s="49" t="s">
        <v>115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4:22" ht="15.75" x14ac:dyDescent="0.25">
      <c r="D34" s="5" t="s">
        <v>135</v>
      </c>
      <c r="E34" s="5"/>
      <c r="F34" s="50"/>
      <c r="G34" s="50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spans="4:22" ht="15.75" x14ac:dyDescent="0.25">
      <c r="D35" s="5" t="s">
        <v>7</v>
      </c>
      <c r="E35" s="5"/>
      <c r="F35" s="50">
        <v>2.16649132</v>
      </c>
      <c r="G35" s="50">
        <v>0.154985967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4:22" ht="15.75" x14ac:dyDescent="0.25">
      <c r="D36" s="5" t="s">
        <v>9</v>
      </c>
      <c r="E36" s="5"/>
      <c r="F36" s="50">
        <v>2.16649132</v>
      </c>
      <c r="G36" s="50">
        <v>0.154985967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4:22" ht="15.75" x14ac:dyDescent="0.25"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4:22" ht="15.75" x14ac:dyDescent="0.25">
      <c r="D38" s="5" t="s">
        <v>136</v>
      </c>
      <c r="E38" s="5"/>
      <c r="F38" s="50"/>
      <c r="G38" s="50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4:22" ht="15.75" x14ac:dyDescent="0.25">
      <c r="D39" s="5" t="s">
        <v>15</v>
      </c>
      <c r="E39" s="5"/>
      <c r="F39" s="50">
        <v>1.467289539</v>
      </c>
      <c r="G39" s="50">
        <v>0.15196833700000001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4:22" ht="15.75" x14ac:dyDescent="0.25">
      <c r="D40" s="5" t="s">
        <v>17</v>
      </c>
      <c r="E40" s="5"/>
      <c r="F40" s="50">
        <v>1.467289539</v>
      </c>
      <c r="G40" s="50">
        <v>0.15196833700000001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4:22" ht="15.75" x14ac:dyDescent="0.25"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</sheetData>
  <mergeCells count="12">
    <mergeCell ref="S4:T4"/>
    <mergeCell ref="U4:V4"/>
    <mergeCell ref="D2:V2"/>
    <mergeCell ref="D3:D5"/>
    <mergeCell ref="F3:G4"/>
    <mergeCell ref="I3:L3"/>
    <mergeCell ref="N3:Q3"/>
    <mergeCell ref="S3:V3"/>
    <mergeCell ref="I4:J4"/>
    <mergeCell ref="K4:L4"/>
    <mergeCell ref="N4:O4"/>
    <mergeCell ref="P4:Q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D6EC1-E30C-4FEE-8CF7-58365F5664E2}">
  <dimension ref="D3:O19"/>
  <sheetViews>
    <sheetView workbookViewId="0">
      <selection activeCell="B3" sqref="B3:V3"/>
    </sheetView>
  </sheetViews>
  <sheetFormatPr defaultRowHeight="13.5" x14ac:dyDescent="0.25"/>
  <cols>
    <col min="1" max="3" width="9.140625" style="1"/>
    <col min="4" max="4" width="33.140625" style="1" bestFit="1" customWidth="1"/>
    <col min="5" max="6" width="11.28515625" style="1" bestFit="1" customWidth="1"/>
    <col min="7" max="7" width="9.140625" style="1"/>
    <col min="8" max="8" width="7.28515625" style="1" bestFit="1" customWidth="1"/>
    <col min="9" max="9" width="7.85546875" style="1" bestFit="1" customWidth="1"/>
    <col min="10" max="10" width="10" style="1" bestFit="1" customWidth="1"/>
    <col min="11" max="11" width="8.5703125" style="1" bestFit="1" customWidth="1"/>
    <col min="12" max="12" width="10" style="1" bestFit="1" customWidth="1"/>
    <col min="13" max="13" width="10.7109375" style="1" bestFit="1" customWidth="1"/>
    <col min="14" max="15" width="10.140625" style="1" bestFit="1" customWidth="1"/>
    <col min="16" max="16384" width="9.140625" style="1"/>
  </cols>
  <sheetData>
    <row r="3" spans="4:15" ht="15.75" x14ac:dyDescent="0.25">
      <c r="D3" s="3" t="s">
        <v>145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4:15" ht="15.75" x14ac:dyDescent="0.25">
      <c r="D4" s="45" t="s">
        <v>146</v>
      </c>
      <c r="E4" s="45"/>
      <c r="F4" s="45"/>
      <c r="G4" s="45"/>
      <c r="H4" s="45"/>
      <c r="I4" s="45"/>
      <c r="J4" s="45"/>
      <c r="K4" s="45"/>
      <c r="L4" s="45"/>
      <c r="M4" s="45"/>
      <c r="N4" s="45"/>
      <c r="O4" s="64"/>
    </row>
    <row r="5" spans="4:15" ht="31.5" x14ac:dyDescent="0.25">
      <c r="D5" s="29" t="s">
        <v>147</v>
      </c>
      <c r="E5" s="30" t="s">
        <v>148</v>
      </c>
      <c r="F5" s="30" t="s">
        <v>149</v>
      </c>
      <c r="G5" s="30" t="s">
        <v>87</v>
      </c>
      <c r="H5" s="30" t="s">
        <v>89</v>
      </c>
      <c r="I5" s="30" t="s">
        <v>90</v>
      </c>
      <c r="J5" s="29" t="s">
        <v>91</v>
      </c>
      <c r="K5" s="31" t="s">
        <v>92</v>
      </c>
      <c r="L5" s="65" t="s">
        <v>150</v>
      </c>
      <c r="M5" s="31" t="s">
        <v>151</v>
      </c>
      <c r="N5" s="65" t="s">
        <v>152</v>
      </c>
    </row>
    <row r="6" spans="4:15" ht="15.75" x14ac:dyDescent="0.25">
      <c r="D6" s="5" t="s">
        <v>153</v>
      </c>
      <c r="E6" s="66">
        <v>138</v>
      </c>
      <c r="F6" s="66">
        <v>0</v>
      </c>
      <c r="G6" s="67">
        <v>429.94</v>
      </c>
      <c r="H6" s="67">
        <v>198</v>
      </c>
      <c r="I6" s="34" t="s">
        <v>154</v>
      </c>
      <c r="J6" s="68">
        <v>0.98599999999999999</v>
      </c>
      <c r="K6" s="68">
        <v>0.98799999999999999</v>
      </c>
      <c r="L6" s="68">
        <v>5.2999999999999999E-2</v>
      </c>
      <c r="M6" s="69" t="s">
        <v>155</v>
      </c>
      <c r="N6" s="68">
        <v>4.3999999999999997E-2</v>
      </c>
    </row>
    <row r="7" spans="4:15" ht="15.75" x14ac:dyDescent="0.25">
      <c r="D7" s="5" t="s">
        <v>156</v>
      </c>
      <c r="E7" s="67">
        <v>140</v>
      </c>
      <c r="F7" s="67">
        <v>18</v>
      </c>
      <c r="G7" s="67">
        <v>400.13900000000001</v>
      </c>
      <c r="H7" s="67">
        <v>214</v>
      </c>
      <c r="I7" s="34" t="s">
        <v>154</v>
      </c>
      <c r="J7" s="68">
        <v>0.98899999999999999</v>
      </c>
      <c r="K7" s="68">
        <v>0.99</v>
      </c>
      <c r="L7" s="68">
        <v>4.5999999999999999E-2</v>
      </c>
      <c r="M7" s="69" t="s">
        <v>157</v>
      </c>
      <c r="N7" s="68">
        <v>4.7E-2</v>
      </c>
    </row>
    <row r="8" spans="4:15" ht="15.75" x14ac:dyDescent="0.25">
      <c r="D8" s="5" t="s">
        <v>158</v>
      </c>
      <c r="E8" s="67">
        <v>140</v>
      </c>
      <c r="F8" s="67">
        <v>14</v>
      </c>
      <c r="G8" s="67">
        <v>380.14100000000002</v>
      </c>
      <c r="H8" s="67">
        <v>210</v>
      </c>
      <c r="I8" s="34" t="s">
        <v>154</v>
      </c>
      <c r="J8" s="68">
        <v>0.99</v>
      </c>
      <c r="K8" s="68">
        <v>0.99099999999999999</v>
      </c>
      <c r="L8" s="68">
        <v>4.3999999999999997E-2</v>
      </c>
      <c r="M8" s="69" t="s">
        <v>159</v>
      </c>
      <c r="N8" s="68">
        <v>4.4999999999999998E-2</v>
      </c>
    </row>
    <row r="9" spans="4:15" ht="15.75" x14ac:dyDescent="0.25">
      <c r="D9" s="5" t="s">
        <v>160</v>
      </c>
      <c r="E9" s="67">
        <v>142</v>
      </c>
      <c r="F9" s="67">
        <v>50</v>
      </c>
      <c r="G9" s="67">
        <v>424.048</v>
      </c>
      <c r="H9" s="67">
        <v>244</v>
      </c>
      <c r="I9" s="34" t="s">
        <v>154</v>
      </c>
      <c r="J9" s="68">
        <v>0.99099999999999999</v>
      </c>
      <c r="K9" s="68">
        <v>0.99099999999999999</v>
      </c>
      <c r="L9" s="68">
        <v>4.2000000000000003E-2</v>
      </c>
      <c r="M9" s="69" t="s">
        <v>161</v>
      </c>
      <c r="N9" s="68">
        <v>4.4999999999999998E-2</v>
      </c>
    </row>
    <row r="10" spans="4:15" ht="15.75" x14ac:dyDescent="0.25">
      <c r="D10" s="5" t="s">
        <v>162</v>
      </c>
      <c r="E10" s="67">
        <v>142</v>
      </c>
      <c r="F10" s="67">
        <v>48</v>
      </c>
      <c r="G10" s="67">
        <v>416.02499999999998</v>
      </c>
      <c r="H10" s="67">
        <v>242</v>
      </c>
      <c r="I10" s="34" t="s">
        <v>154</v>
      </c>
      <c r="J10" s="68">
        <v>0.99099999999999999</v>
      </c>
      <c r="K10" s="68">
        <v>0.99099999999999999</v>
      </c>
      <c r="L10" s="68">
        <v>4.1000000000000002E-2</v>
      </c>
      <c r="M10" s="69" t="s">
        <v>163</v>
      </c>
      <c r="N10" s="68">
        <v>4.4999999999999998E-2</v>
      </c>
    </row>
    <row r="11" spans="4:15" ht="15.75" x14ac:dyDescent="0.25">
      <c r="D11" s="5" t="s">
        <v>164</v>
      </c>
      <c r="E11" s="67">
        <v>154</v>
      </c>
      <c r="F11" s="67">
        <v>48</v>
      </c>
      <c r="G11" s="67">
        <v>436.28</v>
      </c>
      <c r="H11" s="67">
        <v>230</v>
      </c>
      <c r="I11" s="34" t="s">
        <v>154</v>
      </c>
      <c r="J11" s="68">
        <v>0.98899999999999999</v>
      </c>
      <c r="K11" s="68">
        <v>0.98899999999999999</v>
      </c>
      <c r="L11" s="68">
        <v>4.5999999999999999E-2</v>
      </c>
      <c r="M11" s="69" t="s">
        <v>165</v>
      </c>
      <c r="N11" s="68">
        <v>4.4999999999999998E-2</v>
      </c>
    </row>
    <row r="12" spans="4:15" ht="15.75" x14ac:dyDescent="0.25">
      <c r="D12" s="5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</row>
    <row r="13" spans="4:15" ht="15.75" x14ac:dyDescent="0.25">
      <c r="D13" s="45" t="s">
        <v>166</v>
      </c>
      <c r="E13" s="45"/>
      <c r="F13" s="45"/>
      <c r="G13" s="45"/>
      <c r="H13" s="45"/>
      <c r="I13" s="45"/>
      <c r="J13" s="45"/>
      <c r="K13" s="45"/>
      <c r="L13" s="18"/>
      <c r="M13" s="18"/>
      <c r="N13" s="18"/>
      <c r="O13" s="18"/>
    </row>
    <row r="14" spans="4:15" ht="31.5" x14ac:dyDescent="0.25">
      <c r="D14" s="29" t="s">
        <v>167</v>
      </c>
      <c r="E14" s="30" t="s">
        <v>168</v>
      </c>
      <c r="F14" s="31" t="s">
        <v>169</v>
      </c>
      <c r="G14" s="31" t="s">
        <v>170</v>
      </c>
      <c r="H14" s="31" t="s">
        <v>171</v>
      </c>
      <c r="I14" s="31" t="s">
        <v>172</v>
      </c>
      <c r="J14" s="31" t="s">
        <v>173</v>
      </c>
      <c r="K14" s="31" t="s">
        <v>174</v>
      </c>
      <c r="L14" s="18"/>
      <c r="M14" s="18"/>
    </row>
    <row r="15" spans="4:15" ht="15.75" x14ac:dyDescent="0.25">
      <c r="D15" s="70" t="s">
        <v>175</v>
      </c>
      <c r="E15" s="20">
        <v>23.4176</v>
      </c>
      <c r="F15" s="71">
        <v>16</v>
      </c>
      <c r="G15" s="72">
        <v>0.10302</v>
      </c>
      <c r="H15" s="19">
        <f>J7-J6</f>
        <v>3.0000000000000027E-3</v>
      </c>
      <c r="I15" s="19">
        <f>K7-K6</f>
        <v>2.0000000000000018E-3</v>
      </c>
      <c r="J15" s="19">
        <f>L7-L6</f>
        <v>-6.9999999999999993E-3</v>
      </c>
      <c r="K15" s="19">
        <f>N7-N6</f>
        <v>3.0000000000000027E-3</v>
      </c>
      <c r="L15" s="18"/>
      <c r="M15" s="18"/>
    </row>
    <row r="16" spans="4:15" ht="15.75" x14ac:dyDescent="0.25">
      <c r="D16" s="70" t="s">
        <v>176</v>
      </c>
      <c r="E16" s="20">
        <v>5.9176299999999999</v>
      </c>
      <c r="F16" s="71">
        <v>12</v>
      </c>
      <c r="G16" s="72">
        <v>0.92018</v>
      </c>
      <c r="H16" s="19">
        <f>J8-J6</f>
        <v>4.0000000000000036E-3</v>
      </c>
      <c r="I16" s="19">
        <f>K8-K6</f>
        <v>3.0000000000000027E-3</v>
      </c>
      <c r="J16" s="19">
        <f>L8-L6</f>
        <v>-9.0000000000000011E-3</v>
      </c>
      <c r="K16" s="19">
        <f>N8-N6</f>
        <v>1.0000000000000009E-3</v>
      </c>
      <c r="L16" s="18"/>
      <c r="M16" s="18"/>
    </row>
    <row r="17" spans="4:13" ht="15.75" x14ac:dyDescent="0.25">
      <c r="D17" s="73" t="s">
        <v>177</v>
      </c>
      <c r="E17" s="20">
        <v>52.750999999999998</v>
      </c>
      <c r="F17" s="71">
        <v>34</v>
      </c>
      <c r="G17" s="72">
        <v>2.1097000000000001E-2</v>
      </c>
      <c r="H17" s="19">
        <f>J9-J8</f>
        <v>1.0000000000000009E-3</v>
      </c>
      <c r="I17" s="19">
        <f>K9-K8</f>
        <v>0</v>
      </c>
      <c r="J17" s="19">
        <f>L9-L8</f>
        <v>-1.9999999999999948E-3</v>
      </c>
      <c r="K17" s="19">
        <f>N9-N8</f>
        <v>0</v>
      </c>
      <c r="L17" s="18"/>
      <c r="M17" s="18"/>
    </row>
    <row r="18" spans="4:13" ht="15.75" x14ac:dyDescent="0.25">
      <c r="D18" s="73" t="s">
        <v>178</v>
      </c>
      <c r="E18" s="20">
        <v>42.462400000000002</v>
      </c>
      <c r="F18" s="71">
        <v>32</v>
      </c>
      <c r="G18" s="72">
        <v>0.10224</v>
      </c>
      <c r="H18" s="19">
        <f>J10-J8</f>
        <v>1.0000000000000009E-3</v>
      </c>
      <c r="I18" s="19">
        <f>K10-K8</f>
        <v>0</v>
      </c>
      <c r="J18" s="19">
        <f>L10-L8</f>
        <v>-2.9999999999999957E-3</v>
      </c>
      <c r="K18" s="19">
        <f>N10-N8</f>
        <v>0</v>
      </c>
      <c r="L18" s="18"/>
      <c r="M18" s="18"/>
    </row>
    <row r="19" spans="4:13" ht="15.75" x14ac:dyDescent="0.25">
      <c r="D19" s="73" t="s">
        <v>179</v>
      </c>
      <c r="E19" s="20">
        <v>8.7244600000000005</v>
      </c>
      <c r="F19" s="71">
        <v>12</v>
      </c>
      <c r="G19" s="72">
        <v>0.72626999999999997</v>
      </c>
      <c r="H19" s="19">
        <f>J11-J10</f>
        <v>-2.0000000000000018E-3</v>
      </c>
      <c r="I19" s="19">
        <f>K11-K10</f>
        <v>-2.0000000000000018E-3</v>
      </c>
      <c r="J19" s="19">
        <f>L11-L10</f>
        <v>4.9999999999999975E-3</v>
      </c>
      <c r="K19" s="19">
        <f>N11-N10</f>
        <v>0</v>
      </c>
      <c r="L19" s="18"/>
      <c r="M19" s="18"/>
    </row>
  </sheetData>
  <mergeCells count="3">
    <mergeCell ref="D3:N3"/>
    <mergeCell ref="D4:N4"/>
    <mergeCell ref="D13:K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0BB21-C2FA-4D54-9FD4-CBFF206179D3}">
  <dimension ref="D3:O19"/>
  <sheetViews>
    <sheetView topLeftCell="A2" workbookViewId="0">
      <selection activeCell="N23" sqref="N23"/>
    </sheetView>
  </sheetViews>
  <sheetFormatPr defaultRowHeight="13.5" x14ac:dyDescent="0.25"/>
  <cols>
    <col min="1" max="3" width="9.140625" style="1"/>
    <col min="4" max="4" width="33.140625" style="1" bestFit="1" customWidth="1"/>
    <col min="5" max="6" width="11.28515625" style="1" bestFit="1" customWidth="1"/>
    <col min="7" max="7" width="9.140625" style="1"/>
    <col min="8" max="8" width="7.28515625" style="1" bestFit="1" customWidth="1"/>
    <col min="9" max="9" width="7.85546875" style="1" bestFit="1" customWidth="1"/>
    <col min="10" max="10" width="10" style="1" bestFit="1" customWidth="1"/>
    <col min="11" max="11" width="8.5703125" style="1" bestFit="1" customWidth="1"/>
    <col min="12" max="12" width="10" style="1" bestFit="1" customWidth="1"/>
    <col min="13" max="13" width="10.7109375" style="1" bestFit="1" customWidth="1"/>
    <col min="14" max="15" width="10.140625" style="1" bestFit="1" customWidth="1"/>
    <col min="16" max="16384" width="9.140625" style="1"/>
  </cols>
  <sheetData>
    <row r="3" spans="4:15" ht="15.75" x14ac:dyDescent="0.25">
      <c r="D3" s="3" t="s">
        <v>180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4:15" ht="15.75" x14ac:dyDescent="0.25">
      <c r="D4" s="46" t="s">
        <v>181</v>
      </c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</row>
    <row r="5" spans="4:15" ht="31.5" x14ac:dyDescent="0.25">
      <c r="D5" s="29" t="s">
        <v>147</v>
      </c>
      <c r="E5" s="30" t="s">
        <v>148</v>
      </c>
      <c r="F5" s="30" t="s">
        <v>149</v>
      </c>
      <c r="G5" s="30" t="s">
        <v>87</v>
      </c>
      <c r="H5" s="30" t="s">
        <v>89</v>
      </c>
      <c r="I5" s="30" t="s">
        <v>90</v>
      </c>
      <c r="J5" s="29" t="s">
        <v>91</v>
      </c>
      <c r="K5" s="31" t="s">
        <v>92</v>
      </c>
      <c r="L5" s="65" t="s">
        <v>150</v>
      </c>
      <c r="M5" s="31" t="s">
        <v>151</v>
      </c>
      <c r="N5" s="65" t="s">
        <v>152</v>
      </c>
    </row>
    <row r="6" spans="4:15" ht="15.75" x14ac:dyDescent="0.25">
      <c r="D6" s="5" t="s">
        <v>153</v>
      </c>
      <c r="E6" s="66">
        <v>138</v>
      </c>
      <c r="F6" s="66">
        <v>0</v>
      </c>
      <c r="G6" s="67">
        <v>488.71800000000002</v>
      </c>
      <c r="H6" s="67">
        <v>198</v>
      </c>
      <c r="I6" s="34" t="s">
        <v>154</v>
      </c>
      <c r="J6" s="68">
        <v>0.98199999999999998</v>
      </c>
      <c r="K6" s="68">
        <v>0.98499999999999999</v>
      </c>
      <c r="L6" s="68">
        <v>5.6000000000000001E-2</v>
      </c>
      <c r="M6" s="69" t="s">
        <v>182</v>
      </c>
      <c r="N6" s="68">
        <v>4.4999999999999998E-2</v>
      </c>
    </row>
    <row r="7" spans="4:15" ht="15.75" x14ac:dyDescent="0.25">
      <c r="D7" s="5" t="s">
        <v>156</v>
      </c>
      <c r="E7" s="67">
        <v>140</v>
      </c>
      <c r="F7" s="67">
        <v>18</v>
      </c>
      <c r="G7" s="67">
        <v>430.31</v>
      </c>
      <c r="H7" s="67">
        <v>214</v>
      </c>
      <c r="I7" s="34" t="s">
        <v>154</v>
      </c>
      <c r="J7" s="68">
        <v>0.98799999999999999</v>
      </c>
      <c r="K7" s="68">
        <v>0.98899999999999999</v>
      </c>
      <c r="L7" s="68">
        <v>4.7E-2</v>
      </c>
      <c r="M7" s="69" t="s">
        <v>165</v>
      </c>
      <c r="N7" s="68">
        <v>4.8000000000000001E-2</v>
      </c>
    </row>
    <row r="8" spans="4:15" ht="15.75" x14ac:dyDescent="0.25">
      <c r="D8" s="5" t="s">
        <v>158</v>
      </c>
      <c r="E8" s="67">
        <v>140</v>
      </c>
      <c r="F8" s="67">
        <v>14</v>
      </c>
      <c r="G8" s="67">
        <v>413.96800000000002</v>
      </c>
      <c r="H8" s="67">
        <v>210</v>
      </c>
      <c r="I8" s="34" t="s">
        <v>154</v>
      </c>
      <c r="J8" s="68">
        <v>0.98799999999999999</v>
      </c>
      <c r="K8" s="68">
        <v>0.99</v>
      </c>
      <c r="L8" s="68">
        <v>4.5999999999999999E-2</v>
      </c>
      <c r="M8" s="69" t="s">
        <v>157</v>
      </c>
      <c r="N8" s="68">
        <v>4.4999999999999998E-2</v>
      </c>
    </row>
    <row r="9" spans="4:15" ht="15.75" x14ac:dyDescent="0.25">
      <c r="D9" s="5" t="s">
        <v>160</v>
      </c>
      <c r="E9" s="67">
        <v>142</v>
      </c>
      <c r="F9" s="67">
        <v>50</v>
      </c>
      <c r="G9" s="67">
        <v>467.387</v>
      </c>
      <c r="H9" s="67">
        <v>244</v>
      </c>
      <c r="I9" s="34" t="s">
        <v>154</v>
      </c>
      <c r="J9" s="68">
        <v>0.98899999999999999</v>
      </c>
      <c r="K9" s="68">
        <v>0.98899999999999999</v>
      </c>
      <c r="L9" s="68">
        <v>4.3999999999999997E-2</v>
      </c>
      <c r="M9" s="69" t="s">
        <v>183</v>
      </c>
      <c r="N9" s="68">
        <v>4.4999999999999998E-2</v>
      </c>
    </row>
    <row r="10" spans="4:15" ht="15.75" x14ac:dyDescent="0.25">
      <c r="D10" s="5" t="s">
        <v>162</v>
      </c>
      <c r="E10" s="67">
        <v>142</v>
      </c>
      <c r="F10" s="67">
        <v>45</v>
      </c>
      <c r="G10" s="67">
        <v>437.70100000000002</v>
      </c>
      <c r="H10" s="67">
        <v>239</v>
      </c>
      <c r="I10" s="34" t="s">
        <v>154</v>
      </c>
      <c r="J10" s="68">
        <v>0.99</v>
      </c>
      <c r="K10" s="68">
        <v>0.99</v>
      </c>
      <c r="L10" s="68">
        <v>4.2000000000000003E-2</v>
      </c>
      <c r="M10" s="69" t="s">
        <v>184</v>
      </c>
      <c r="N10" s="68">
        <v>4.4999999999999998E-2</v>
      </c>
    </row>
    <row r="11" spans="4:15" ht="15.75" x14ac:dyDescent="0.25">
      <c r="D11" s="5" t="s">
        <v>164</v>
      </c>
      <c r="E11" s="67">
        <v>154</v>
      </c>
      <c r="F11" s="67">
        <v>45</v>
      </c>
      <c r="G11" s="67">
        <v>479.93099999999998</v>
      </c>
      <c r="H11" s="67">
        <v>227</v>
      </c>
      <c r="I11" s="34" t="s">
        <v>154</v>
      </c>
      <c r="J11" s="68">
        <v>0.98599999999999999</v>
      </c>
      <c r="K11" s="68">
        <v>0.98699999999999999</v>
      </c>
      <c r="L11" s="68">
        <v>4.9000000000000002E-2</v>
      </c>
      <c r="M11" s="69" t="s">
        <v>185</v>
      </c>
      <c r="N11" s="68">
        <v>4.4999999999999998E-2</v>
      </c>
    </row>
    <row r="12" spans="4:15" ht="15.75" x14ac:dyDescent="0.25">
      <c r="D12" s="5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</row>
    <row r="13" spans="4:15" ht="15.75" x14ac:dyDescent="0.25">
      <c r="D13" s="45" t="s">
        <v>186</v>
      </c>
      <c r="E13" s="45"/>
      <c r="F13" s="45"/>
      <c r="G13" s="45"/>
      <c r="H13" s="45"/>
      <c r="I13" s="45"/>
      <c r="J13" s="45"/>
      <c r="K13" s="45"/>
      <c r="L13" s="18"/>
      <c r="M13" s="18"/>
      <c r="N13" s="18"/>
      <c r="O13" s="18"/>
    </row>
    <row r="14" spans="4:15" ht="31.5" x14ac:dyDescent="0.25">
      <c r="D14" s="29" t="s">
        <v>167</v>
      </c>
      <c r="E14" s="30" t="s">
        <v>168</v>
      </c>
      <c r="F14" s="31" t="s">
        <v>169</v>
      </c>
      <c r="G14" s="31" t="s">
        <v>170</v>
      </c>
      <c r="H14" s="31" t="s">
        <v>171</v>
      </c>
      <c r="I14" s="31" t="s">
        <v>172</v>
      </c>
      <c r="J14" s="31" t="s">
        <v>173</v>
      </c>
      <c r="K14" s="31" t="s">
        <v>174</v>
      </c>
      <c r="L14" s="18"/>
      <c r="M14" s="18"/>
    </row>
    <row r="15" spans="4:15" ht="15.75" x14ac:dyDescent="0.25">
      <c r="D15" s="70" t="s">
        <v>175</v>
      </c>
      <c r="E15" s="20">
        <v>22.082799999999999</v>
      </c>
      <c r="F15" s="71">
        <v>16</v>
      </c>
      <c r="G15" s="72">
        <v>0.14054</v>
      </c>
      <c r="H15" s="19">
        <f>J7-J6</f>
        <v>6.0000000000000053E-3</v>
      </c>
      <c r="I15" s="19">
        <f>K7-K6</f>
        <v>4.0000000000000036E-3</v>
      </c>
      <c r="J15" s="19">
        <f>L7-L6</f>
        <v>-9.0000000000000011E-3</v>
      </c>
      <c r="K15" s="19">
        <f>N7-N6</f>
        <v>3.0000000000000027E-3</v>
      </c>
      <c r="L15" s="18"/>
      <c r="M15" s="18"/>
    </row>
    <row r="16" spans="4:15" ht="15.75" x14ac:dyDescent="0.25">
      <c r="D16" s="70" t="s">
        <v>176</v>
      </c>
      <c r="E16" s="20">
        <v>6.3782199999999998</v>
      </c>
      <c r="F16" s="71">
        <v>12</v>
      </c>
      <c r="G16" s="72">
        <v>0.89583000000000002</v>
      </c>
      <c r="H16" s="19">
        <f>J8-J6</f>
        <v>6.0000000000000053E-3</v>
      </c>
      <c r="I16" s="19">
        <f>K8-K6</f>
        <v>5.0000000000000044E-3</v>
      </c>
      <c r="J16" s="19">
        <f>L8-L6</f>
        <v>-1.0000000000000002E-2</v>
      </c>
      <c r="K16" s="19">
        <f>N8-N6</f>
        <v>0</v>
      </c>
      <c r="L16" s="18"/>
      <c r="M16" s="18"/>
    </row>
    <row r="17" spans="4:13" ht="15.75" x14ac:dyDescent="0.25">
      <c r="D17" s="73" t="s">
        <v>177</v>
      </c>
      <c r="E17" s="20">
        <v>63.291400000000003</v>
      </c>
      <c r="F17" s="71">
        <v>34</v>
      </c>
      <c r="G17" s="72">
        <v>1.6752E-3</v>
      </c>
      <c r="H17" s="19">
        <f>J9-J8</f>
        <v>1.0000000000000009E-3</v>
      </c>
      <c r="I17" s="19">
        <f>K9-K8</f>
        <v>-1.0000000000000009E-3</v>
      </c>
      <c r="J17" s="19">
        <f>L9-L8</f>
        <v>-2.0000000000000018E-3</v>
      </c>
      <c r="K17" s="19">
        <f>N9-N8</f>
        <v>0</v>
      </c>
      <c r="L17" s="18"/>
      <c r="M17" s="18"/>
    </row>
    <row r="18" spans="4:13" ht="15.75" x14ac:dyDescent="0.25">
      <c r="D18" s="73" t="s">
        <v>178</v>
      </c>
      <c r="E18" s="20">
        <v>25.070900000000002</v>
      </c>
      <c r="F18" s="71">
        <v>29</v>
      </c>
      <c r="G18" s="72">
        <v>0.67456000000000005</v>
      </c>
      <c r="H18" s="19">
        <f>J10-J8</f>
        <v>2.0000000000000018E-3</v>
      </c>
      <c r="I18" s="19">
        <f>K10-K8</f>
        <v>0</v>
      </c>
      <c r="J18" s="19">
        <f>L10-L8</f>
        <v>-3.9999999999999966E-3</v>
      </c>
      <c r="K18" s="19">
        <f>N10-N8</f>
        <v>0</v>
      </c>
      <c r="L18" s="18"/>
      <c r="M18" s="18"/>
    </row>
    <row r="19" spans="4:13" ht="15.75" x14ac:dyDescent="0.25">
      <c r="D19" s="73" t="s">
        <v>179</v>
      </c>
      <c r="E19" s="20">
        <v>5.7517800000000001</v>
      </c>
      <c r="F19" s="71">
        <v>12</v>
      </c>
      <c r="G19" s="72">
        <v>0.92806999999999995</v>
      </c>
      <c r="H19" s="19">
        <f>J11-J10</f>
        <v>-4.0000000000000036E-3</v>
      </c>
      <c r="I19" s="19">
        <f>K11-K10</f>
        <v>-3.0000000000000027E-3</v>
      </c>
      <c r="J19" s="19">
        <f>L11-L10</f>
        <v>6.9999999999999993E-3</v>
      </c>
      <c r="K19" s="19">
        <f>N11-N10</f>
        <v>0</v>
      </c>
      <c r="L19" s="18"/>
      <c r="M19" s="18"/>
    </row>
  </sheetData>
  <mergeCells count="3">
    <mergeCell ref="D3:N3"/>
    <mergeCell ref="D4:O4"/>
    <mergeCell ref="D13:K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B5592-A1E8-42EF-AABD-47988E11B7C2}">
  <dimension ref="A1:AP70"/>
  <sheetViews>
    <sheetView zoomScale="80" zoomScaleNormal="80" workbookViewId="0">
      <selection activeCell="E28" sqref="E28"/>
    </sheetView>
  </sheetViews>
  <sheetFormatPr defaultColWidth="9.140625" defaultRowHeight="15" x14ac:dyDescent="0.25"/>
  <cols>
    <col min="1" max="1" width="9.28515625" style="82" bestFit="1" customWidth="1"/>
    <col min="2" max="2" width="9" style="92" customWidth="1"/>
    <col min="3" max="5" width="12.42578125" style="92" bestFit="1" customWidth="1"/>
    <col min="6" max="6" width="14.85546875" style="82" bestFit="1" customWidth="1"/>
    <col min="7" max="7" width="18.42578125" style="82" bestFit="1" customWidth="1"/>
    <col min="8" max="8" width="88.7109375" style="82" bestFit="1" customWidth="1"/>
    <col min="9" max="9" width="9.28515625" style="91" bestFit="1" customWidth="1"/>
    <col min="10" max="10" width="26.7109375" style="81" bestFit="1" customWidth="1"/>
    <col min="11" max="11" width="25.5703125" style="81" bestFit="1" customWidth="1"/>
    <col min="12" max="12" width="38" style="81" bestFit="1" customWidth="1"/>
    <col min="13" max="13" width="18.85546875" style="81" bestFit="1" customWidth="1"/>
    <col min="14" max="14" width="9.140625" style="81"/>
    <col min="15" max="15" width="5.5703125" style="82" customWidth="1"/>
    <col min="16" max="16384" width="9.140625" style="82"/>
  </cols>
  <sheetData>
    <row r="1" spans="1:42" ht="52.5" customHeight="1" x14ac:dyDescent="0.25">
      <c r="A1" s="74" t="s">
        <v>39</v>
      </c>
      <c r="B1" s="75" t="s">
        <v>109</v>
      </c>
      <c r="C1" s="76" t="s">
        <v>187</v>
      </c>
      <c r="D1" s="76" t="s">
        <v>188</v>
      </c>
      <c r="E1" s="76" t="s">
        <v>189</v>
      </c>
      <c r="F1" s="77" t="s">
        <v>190</v>
      </c>
      <c r="G1" s="77" t="s">
        <v>191</v>
      </c>
      <c r="H1" s="78" t="s">
        <v>192</v>
      </c>
      <c r="I1" s="79" t="s">
        <v>39</v>
      </c>
      <c r="J1" s="78" t="s">
        <v>193</v>
      </c>
      <c r="K1" s="78" t="s">
        <v>194</v>
      </c>
      <c r="L1" s="78" t="s">
        <v>195</v>
      </c>
      <c r="M1" s="80" t="s">
        <v>196</v>
      </c>
      <c r="P1" s="83"/>
      <c r="Q1" s="84"/>
      <c r="R1" s="84"/>
      <c r="S1" s="84"/>
    </row>
    <row r="2" spans="1:42" ht="15.75" x14ac:dyDescent="0.25">
      <c r="A2" s="85" t="s">
        <v>5</v>
      </c>
      <c r="B2" s="86">
        <v>1.4055342200000001</v>
      </c>
      <c r="C2" s="86">
        <v>1.33506418</v>
      </c>
      <c r="D2" s="86">
        <v>-0.983533455</v>
      </c>
      <c r="E2" s="86">
        <v>-2.0190002709999999</v>
      </c>
      <c r="F2" s="87">
        <v>0</v>
      </c>
      <c r="G2" s="87">
        <v>1</v>
      </c>
      <c r="H2" s="88" t="s">
        <v>197</v>
      </c>
      <c r="I2" s="87" t="str">
        <f>A2</f>
        <v>1 (Q54)</v>
      </c>
      <c r="J2" s="86">
        <f>(C2-($B2*$F2))/($B2*SQRT($G2))</f>
        <v>0.94986245158798055</v>
      </c>
      <c r="K2" s="86">
        <f t="shared" ref="J2:L17" si="0">(D2-($B2*$F2))/($B2*SQRT($G2))</f>
        <v>-0.69975774406972457</v>
      </c>
      <c r="L2" s="86">
        <f t="shared" si="0"/>
        <v>-1.4364646852924006</v>
      </c>
      <c r="M2" s="86">
        <f t="shared" ref="M2:M19" si="1">$B2*SQRT($G2)</f>
        <v>1.4055342200000001</v>
      </c>
      <c r="P2" s="89" t="s">
        <v>198</v>
      </c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D2" s="89" t="s">
        <v>199</v>
      </c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</row>
    <row r="3" spans="1:42" ht="15.75" x14ac:dyDescent="0.25">
      <c r="A3" s="85" t="s">
        <v>7</v>
      </c>
      <c r="B3" s="86">
        <v>3.2389301100000001</v>
      </c>
      <c r="C3" s="86">
        <v>0.14009459099999999</v>
      </c>
      <c r="D3" s="86">
        <v>-2.951092386</v>
      </c>
      <c r="E3" s="86">
        <v>-5.4203982819999998</v>
      </c>
      <c r="F3" s="87">
        <v>0</v>
      </c>
      <c r="G3" s="87">
        <v>1</v>
      </c>
      <c r="H3" s="88" t="s">
        <v>200</v>
      </c>
      <c r="I3" s="87" t="str">
        <f t="shared" ref="I3:I19" si="2">A3</f>
        <v>2 (Q55)</v>
      </c>
      <c r="J3" s="86">
        <f t="shared" si="0"/>
        <v>4.3253354114516536E-2</v>
      </c>
      <c r="K3" s="86">
        <f t="shared" si="0"/>
        <v>-0.91113185088146276</v>
      </c>
      <c r="L3" s="86">
        <f t="shared" si="0"/>
        <v>-1.6735150490789688</v>
      </c>
      <c r="M3" s="86">
        <f t="shared" si="1"/>
        <v>3.2389301100000001</v>
      </c>
      <c r="AB3" s="90"/>
    </row>
    <row r="4" spans="1:42" ht="15.75" x14ac:dyDescent="0.25">
      <c r="A4" s="85" t="s">
        <v>9</v>
      </c>
      <c r="B4" s="86">
        <v>3.3278294100000001</v>
      </c>
      <c r="C4" s="86">
        <v>-3.6911143E-2</v>
      </c>
      <c r="D4" s="86">
        <v>-3.101463436</v>
      </c>
      <c r="E4" s="86">
        <v>-5.4801325099999998</v>
      </c>
      <c r="F4" s="87">
        <v>0</v>
      </c>
      <c r="G4" s="87">
        <v>1</v>
      </c>
      <c r="H4" s="88" t="s">
        <v>201</v>
      </c>
      <c r="I4" s="87" t="str">
        <f t="shared" si="2"/>
        <v>3 (Q56)</v>
      </c>
      <c r="J4" s="86">
        <f t="shared" si="0"/>
        <v>-1.1091657189242762E-2</v>
      </c>
      <c r="K4" s="86">
        <f t="shared" si="0"/>
        <v>-0.93197789125855457</v>
      </c>
      <c r="L4" s="86">
        <f t="shared" si="0"/>
        <v>-1.6467588433266473</v>
      </c>
      <c r="M4" s="86">
        <f t="shared" si="1"/>
        <v>3.3278294100000001</v>
      </c>
      <c r="AB4" s="90"/>
    </row>
    <row r="5" spans="1:42" ht="15.75" x14ac:dyDescent="0.25">
      <c r="A5" s="85" t="s">
        <v>11</v>
      </c>
      <c r="B5" s="86">
        <v>2.36461269</v>
      </c>
      <c r="C5" s="86">
        <v>0.76161352999999998</v>
      </c>
      <c r="D5" s="86">
        <v>-1.377713207</v>
      </c>
      <c r="E5" s="86">
        <v>-2.7872301140000002</v>
      </c>
      <c r="F5" s="87">
        <v>0</v>
      </c>
      <c r="G5" s="87">
        <v>1</v>
      </c>
      <c r="H5" s="88" t="s">
        <v>202</v>
      </c>
      <c r="I5" s="87" t="str">
        <f t="shared" si="2"/>
        <v>4 (Q57)</v>
      </c>
      <c r="J5" s="86">
        <f t="shared" si="0"/>
        <v>0.32208806677765062</v>
      </c>
      <c r="K5" s="86">
        <f t="shared" si="0"/>
        <v>-0.58263799937570326</v>
      </c>
      <c r="L5" s="86">
        <f t="shared" si="0"/>
        <v>-1.1787258546768604</v>
      </c>
      <c r="M5" s="86">
        <f t="shared" si="1"/>
        <v>2.36461269</v>
      </c>
      <c r="AB5" s="90"/>
    </row>
    <row r="6" spans="1:42" ht="15.75" x14ac:dyDescent="0.25">
      <c r="A6" s="85" t="s">
        <v>13</v>
      </c>
      <c r="B6" s="86">
        <v>2.51630705</v>
      </c>
      <c r="C6" s="86">
        <v>0.107275404</v>
      </c>
      <c r="D6" s="86">
        <v>-2.1934710119999998</v>
      </c>
      <c r="E6" s="86">
        <v>-4.009746056</v>
      </c>
      <c r="F6" s="87">
        <v>0</v>
      </c>
      <c r="G6" s="87">
        <v>1</v>
      </c>
      <c r="H6" s="88" t="s">
        <v>203</v>
      </c>
      <c r="I6" s="87" t="str">
        <f t="shared" si="2"/>
        <v>5 (Q58)</v>
      </c>
      <c r="J6" s="86">
        <f t="shared" si="0"/>
        <v>4.2632080214535031E-2</v>
      </c>
      <c r="K6" s="86">
        <f t="shared" si="0"/>
        <v>-0.87170244664696217</v>
      </c>
      <c r="L6" s="86">
        <f t="shared" si="0"/>
        <v>-1.5935042808070661</v>
      </c>
      <c r="M6" s="86">
        <f t="shared" si="1"/>
        <v>2.51630705</v>
      </c>
      <c r="AB6" s="90"/>
    </row>
    <row r="7" spans="1:42" ht="15.75" x14ac:dyDescent="0.25">
      <c r="A7" s="85" t="s">
        <v>15</v>
      </c>
      <c r="B7" s="86">
        <v>3.84867084</v>
      </c>
      <c r="C7" s="86">
        <v>3.1369399869999999</v>
      </c>
      <c r="D7" s="86">
        <v>-0.85748898399999995</v>
      </c>
      <c r="E7" s="86">
        <v>-3.199575222</v>
      </c>
      <c r="F7" s="87">
        <v>0</v>
      </c>
      <c r="G7" s="87">
        <v>1</v>
      </c>
      <c r="H7" s="88" t="s">
        <v>204</v>
      </c>
      <c r="I7" s="87" t="str">
        <f t="shared" si="2"/>
        <v>6 (Q59)</v>
      </c>
      <c r="J7" s="86">
        <f t="shared" si="0"/>
        <v>0.81507099916084269</v>
      </c>
      <c r="K7" s="86">
        <f t="shared" si="0"/>
        <v>-0.22280133054974374</v>
      </c>
      <c r="L7" s="86">
        <f t="shared" si="0"/>
        <v>-0.83134550992154999</v>
      </c>
      <c r="M7" s="86">
        <f t="shared" si="1"/>
        <v>3.84867084</v>
      </c>
      <c r="AB7" s="90"/>
    </row>
    <row r="8" spans="1:42" ht="15.75" x14ac:dyDescent="0.25">
      <c r="A8" s="85" t="s">
        <v>17</v>
      </c>
      <c r="B8" s="86">
        <v>4.3629324599999997</v>
      </c>
      <c r="C8" s="86">
        <v>2.423119115</v>
      </c>
      <c r="D8" s="86">
        <v>-1.289161657</v>
      </c>
      <c r="E8" s="86">
        <v>-3.654549152</v>
      </c>
      <c r="F8" s="87">
        <v>0</v>
      </c>
      <c r="G8" s="87">
        <v>1</v>
      </c>
      <c r="H8" s="88" t="s">
        <v>205</v>
      </c>
      <c r="I8" s="87" t="str">
        <f t="shared" si="2"/>
        <v>7 (Q60)</v>
      </c>
      <c r="J8" s="86">
        <f t="shared" si="0"/>
        <v>0.55538772080831156</v>
      </c>
      <c r="K8" s="86">
        <f t="shared" si="0"/>
        <v>-0.29548054406508051</v>
      </c>
      <c r="L8" s="86">
        <f t="shared" si="0"/>
        <v>-0.83763596743828583</v>
      </c>
      <c r="M8" s="86">
        <f t="shared" si="1"/>
        <v>4.3629324599999997</v>
      </c>
      <c r="AB8" s="90"/>
    </row>
    <row r="9" spans="1:42" ht="15.75" x14ac:dyDescent="0.25">
      <c r="A9" s="85" t="s">
        <v>19</v>
      </c>
      <c r="B9" s="86">
        <v>3.7646199199999999</v>
      </c>
      <c r="C9" s="86">
        <v>0.99748032600000003</v>
      </c>
      <c r="D9" s="86">
        <v>-1.9337299999999999</v>
      </c>
      <c r="E9" s="86">
        <v>-4.3907618739999998</v>
      </c>
      <c r="F9" s="87">
        <v>0</v>
      </c>
      <c r="G9" s="87">
        <v>1</v>
      </c>
      <c r="H9" s="88" t="s">
        <v>206</v>
      </c>
      <c r="I9" s="87" t="str">
        <f t="shared" si="2"/>
        <v>8 (Q61)</v>
      </c>
      <c r="J9" s="86">
        <f t="shared" si="0"/>
        <v>0.26496176166437541</v>
      </c>
      <c r="K9" s="86">
        <f t="shared" si="0"/>
        <v>-0.51365876000571131</v>
      </c>
      <c r="L9" s="86">
        <f t="shared" si="0"/>
        <v>-1.1663227543034411</v>
      </c>
      <c r="M9" s="86">
        <f t="shared" si="1"/>
        <v>3.7646199199999999</v>
      </c>
      <c r="AB9" s="90"/>
    </row>
    <row r="10" spans="1:42" ht="15.75" x14ac:dyDescent="0.25">
      <c r="A10" s="85" t="s">
        <v>21</v>
      </c>
      <c r="B10" s="86">
        <v>1.8549742600000001</v>
      </c>
      <c r="C10" s="86">
        <v>1.951866189</v>
      </c>
      <c r="D10" s="86">
        <v>-1.0739183960000001</v>
      </c>
      <c r="E10" s="86">
        <v>-2.7992386740000001</v>
      </c>
      <c r="F10" s="87">
        <v>0</v>
      </c>
      <c r="G10" s="87">
        <v>1</v>
      </c>
      <c r="H10" s="88" t="s">
        <v>207</v>
      </c>
      <c r="I10" s="87" t="str">
        <f t="shared" si="2"/>
        <v>9 (Q62)</v>
      </c>
      <c r="J10" s="86">
        <f t="shared" si="0"/>
        <v>1.0522335706156913</v>
      </c>
      <c r="K10" s="86">
        <f t="shared" si="0"/>
        <v>-0.57893978323990325</v>
      </c>
      <c r="L10" s="86">
        <f t="shared" si="0"/>
        <v>-1.5090444834528325</v>
      </c>
      <c r="M10" s="86">
        <f t="shared" si="1"/>
        <v>1.8549742600000001</v>
      </c>
      <c r="AB10" s="90"/>
    </row>
    <row r="11" spans="1:42" ht="15.75" x14ac:dyDescent="0.25">
      <c r="A11" s="85" t="s">
        <v>23</v>
      </c>
      <c r="B11" s="86">
        <v>0.68179381999999999</v>
      </c>
      <c r="C11" s="86">
        <v>-0.28704547000000002</v>
      </c>
      <c r="D11" s="86">
        <v>-2.6680926020000002</v>
      </c>
      <c r="E11" s="86">
        <v>-4.090346383</v>
      </c>
      <c r="F11" s="87">
        <v>0</v>
      </c>
      <c r="G11" s="87">
        <v>1</v>
      </c>
      <c r="H11" s="88" t="s">
        <v>208</v>
      </c>
      <c r="I11" s="87" t="str">
        <f t="shared" si="2"/>
        <v>10 (Q63)</v>
      </c>
      <c r="J11" s="86">
        <f t="shared" si="0"/>
        <v>-0.42101506581564502</v>
      </c>
      <c r="K11" s="86">
        <f t="shared" si="0"/>
        <v>-3.9133423092629385</v>
      </c>
      <c r="L11" s="86">
        <f t="shared" si="0"/>
        <v>-5.9993890572372743</v>
      </c>
      <c r="M11" s="86">
        <f t="shared" si="1"/>
        <v>0.68179381999999999</v>
      </c>
      <c r="AB11" s="90"/>
    </row>
    <row r="12" spans="1:42" ht="15.75" x14ac:dyDescent="0.25">
      <c r="A12" s="85" t="s">
        <v>25</v>
      </c>
      <c r="B12" s="86">
        <v>2.8782650900000002</v>
      </c>
      <c r="C12" s="86">
        <v>-1.5161731620000001</v>
      </c>
      <c r="D12" s="86">
        <v>-3.953346877</v>
      </c>
      <c r="E12" s="86">
        <v>-5.8853271710000001</v>
      </c>
      <c r="F12" s="87">
        <v>0</v>
      </c>
      <c r="G12" s="87">
        <v>1</v>
      </c>
      <c r="H12" s="88" t="s">
        <v>209</v>
      </c>
      <c r="I12" s="87" t="str">
        <f t="shared" si="2"/>
        <v>11 (Q64)</v>
      </c>
      <c r="J12" s="86">
        <f t="shared" si="0"/>
        <v>-0.52676633825969099</v>
      </c>
      <c r="K12" s="86">
        <f t="shared" si="0"/>
        <v>-1.3735172937111222</v>
      </c>
      <c r="L12" s="86">
        <f t="shared" si="0"/>
        <v>-2.0447481336752062</v>
      </c>
      <c r="M12" s="86">
        <f t="shared" si="1"/>
        <v>2.8782650900000002</v>
      </c>
      <c r="AB12" s="90"/>
    </row>
    <row r="13" spans="1:42" ht="15.75" x14ac:dyDescent="0.25">
      <c r="A13" s="85" t="s">
        <v>27</v>
      </c>
      <c r="B13" s="86">
        <v>1.5080784899999999</v>
      </c>
      <c r="C13" s="86">
        <v>-1.3701227890000001</v>
      </c>
      <c r="D13" s="86">
        <v>-2.8543439240000001</v>
      </c>
      <c r="E13" s="86">
        <v>-4.0106664729999997</v>
      </c>
      <c r="F13" s="87">
        <v>0</v>
      </c>
      <c r="G13" s="87">
        <v>1</v>
      </c>
      <c r="H13" s="88" t="s">
        <v>210</v>
      </c>
      <c r="I13" s="87" t="str">
        <f t="shared" si="2"/>
        <v>12 (Q65)</v>
      </c>
      <c r="J13" s="86">
        <f t="shared" si="0"/>
        <v>-0.90852220098968461</v>
      </c>
      <c r="K13" s="86">
        <f t="shared" si="0"/>
        <v>-1.8927024972022513</v>
      </c>
      <c r="L13" s="86">
        <f t="shared" si="0"/>
        <v>-2.6594547297070723</v>
      </c>
      <c r="M13" s="86">
        <f t="shared" si="1"/>
        <v>1.5080784899999999</v>
      </c>
      <c r="AB13" s="90"/>
    </row>
    <row r="14" spans="1:42" ht="15.75" x14ac:dyDescent="0.25">
      <c r="A14" s="85" t="s">
        <v>29</v>
      </c>
      <c r="B14" s="86">
        <v>1.2885388799999999</v>
      </c>
      <c r="C14" s="86">
        <v>-0.80611681000000002</v>
      </c>
      <c r="D14" s="86">
        <v>-2.6505602210000001</v>
      </c>
      <c r="E14" s="86">
        <v>-4.1205700050000003</v>
      </c>
      <c r="F14" s="87">
        <v>0</v>
      </c>
      <c r="G14" s="87">
        <v>1</v>
      </c>
      <c r="H14" s="88" t="s">
        <v>211</v>
      </c>
      <c r="I14" s="87" t="str">
        <f t="shared" si="2"/>
        <v>13 (Q66)</v>
      </c>
      <c r="J14" s="86">
        <f t="shared" si="0"/>
        <v>-0.62560534455894734</v>
      </c>
      <c r="K14" s="86">
        <f t="shared" si="0"/>
        <v>-2.0570277405987163</v>
      </c>
      <c r="L14" s="86">
        <f t="shared" si="0"/>
        <v>-3.1978623764926679</v>
      </c>
      <c r="M14" s="86">
        <f t="shared" si="1"/>
        <v>1.2885388799999999</v>
      </c>
      <c r="AB14" s="90"/>
    </row>
    <row r="15" spans="1:42" ht="15.75" x14ac:dyDescent="0.25">
      <c r="A15" s="85" t="s">
        <v>31</v>
      </c>
      <c r="B15" s="86">
        <v>1.6993387200000001</v>
      </c>
      <c r="C15" s="86">
        <v>-3.582631E-2</v>
      </c>
      <c r="D15" s="86">
        <v>-2.5207816959999998</v>
      </c>
      <c r="E15" s="86">
        <v>-3.8706332080000001</v>
      </c>
      <c r="F15" s="87">
        <v>0</v>
      </c>
      <c r="G15" s="87">
        <v>1</v>
      </c>
      <c r="H15" s="88" t="s">
        <v>212</v>
      </c>
      <c r="I15" s="87" t="str">
        <f t="shared" si="2"/>
        <v>14 (Q67)</v>
      </c>
      <c r="J15" s="86">
        <f t="shared" si="0"/>
        <v>-2.1082500844799203E-2</v>
      </c>
      <c r="K15" s="86">
        <f t="shared" si="0"/>
        <v>-1.4833897835270886</v>
      </c>
      <c r="L15" s="86">
        <f t="shared" si="0"/>
        <v>-2.2777290733421292</v>
      </c>
      <c r="M15" s="86">
        <f t="shared" si="1"/>
        <v>1.6993387200000001</v>
      </c>
      <c r="AB15" s="90"/>
    </row>
    <row r="16" spans="1:42" ht="15.75" x14ac:dyDescent="0.25">
      <c r="A16" s="85" t="s">
        <v>33</v>
      </c>
      <c r="B16" s="86">
        <v>2.14874813</v>
      </c>
      <c r="C16" s="86">
        <v>-1.6812135210000001</v>
      </c>
      <c r="D16" s="86">
        <v>-4.2691737720000003</v>
      </c>
      <c r="E16" s="86">
        <v>-6.1295617460000003</v>
      </c>
      <c r="F16" s="87">
        <v>0</v>
      </c>
      <c r="G16" s="87">
        <v>1</v>
      </c>
      <c r="H16" s="88" t="s">
        <v>213</v>
      </c>
      <c r="I16" s="87" t="str">
        <f t="shared" si="2"/>
        <v>15 (Q68)</v>
      </c>
      <c r="J16" s="86">
        <f t="shared" si="0"/>
        <v>-0.78241535037426657</v>
      </c>
      <c r="K16" s="86">
        <f t="shared" si="0"/>
        <v>-1.9868190749745993</v>
      </c>
      <c r="L16" s="86">
        <f t="shared" si="0"/>
        <v>-2.8526199327047235</v>
      </c>
      <c r="M16" s="86">
        <f t="shared" si="1"/>
        <v>2.14874813</v>
      </c>
      <c r="AB16" s="90"/>
    </row>
    <row r="17" spans="1:28" ht="15.75" x14ac:dyDescent="0.25">
      <c r="A17" s="85" t="s">
        <v>35</v>
      </c>
      <c r="B17" s="86">
        <v>1.9554666000000001</v>
      </c>
      <c r="C17" s="86">
        <v>-0.420341729</v>
      </c>
      <c r="D17" s="86">
        <v>-2.7035441640000002</v>
      </c>
      <c r="E17" s="86">
        <v>-4.2880666649999997</v>
      </c>
      <c r="F17" s="87">
        <v>0</v>
      </c>
      <c r="G17" s="87">
        <v>1</v>
      </c>
      <c r="H17" s="88" t="s">
        <v>214</v>
      </c>
      <c r="I17" s="87" t="str">
        <f t="shared" si="2"/>
        <v>16 (Q69)</v>
      </c>
      <c r="J17" s="86">
        <f t="shared" si="0"/>
        <v>-0.2149572531691413</v>
      </c>
      <c r="K17" s="86">
        <f t="shared" si="0"/>
        <v>-1.3825570654083277</v>
      </c>
      <c r="L17" s="86">
        <f t="shared" si="0"/>
        <v>-2.1928611130458582</v>
      </c>
      <c r="M17" s="86">
        <f t="shared" si="1"/>
        <v>1.9554666000000001</v>
      </c>
      <c r="AB17" s="90"/>
    </row>
    <row r="18" spans="1:28" ht="15.75" x14ac:dyDescent="0.25">
      <c r="A18" s="85" t="s">
        <v>21</v>
      </c>
      <c r="B18" s="86">
        <v>0.79355712</v>
      </c>
      <c r="C18" s="86">
        <v>1.951866189</v>
      </c>
      <c r="D18" s="86">
        <v>-1.0739183960000001</v>
      </c>
      <c r="E18" s="86">
        <v>-2.7992386740000001</v>
      </c>
      <c r="F18" s="87">
        <v>0</v>
      </c>
      <c r="G18" s="87">
        <v>1</v>
      </c>
      <c r="H18" s="88" t="s">
        <v>207</v>
      </c>
      <c r="I18" s="87" t="str">
        <f t="shared" si="2"/>
        <v>9 (Q62)</v>
      </c>
      <c r="J18" s="86">
        <f t="shared" ref="J18:L19" si="3">(C18-($B18*$F18))/($B18*SQRT($G18))</f>
        <v>2.4596417066990717</v>
      </c>
      <c r="K18" s="86">
        <f t="shared" si="3"/>
        <v>-1.3532969069699734</v>
      </c>
      <c r="L18" s="86">
        <f t="shared" si="3"/>
        <v>-3.5274570707651143</v>
      </c>
      <c r="M18" s="86">
        <f t="shared" si="1"/>
        <v>0.79355712</v>
      </c>
      <c r="AB18" s="90"/>
    </row>
    <row r="19" spans="1:28" ht="15.75" x14ac:dyDescent="0.25">
      <c r="A19" s="85" t="s">
        <v>23</v>
      </c>
      <c r="B19" s="86">
        <v>1.6582415699999999</v>
      </c>
      <c r="C19" s="86">
        <v>-0.28704547000000002</v>
      </c>
      <c r="D19" s="86">
        <v>-2.6680926020000002</v>
      </c>
      <c r="E19" s="86">
        <v>-4.090346383</v>
      </c>
      <c r="F19" s="87">
        <v>0</v>
      </c>
      <c r="G19" s="87">
        <v>1</v>
      </c>
      <c r="H19" s="88" t="s">
        <v>208</v>
      </c>
      <c r="I19" s="87" t="str">
        <f t="shared" si="2"/>
        <v>10 (Q63)</v>
      </c>
      <c r="J19" s="86">
        <f t="shared" si="3"/>
        <v>-0.17310232428921682</v>
      </c>
      <c r="K19" s="86">
        <f t="shared" si="3"/>
        <v>-1.608989094393527</v>
      </c>
      <c r="L19" s="86">
        <f t="shared" si="3"/>
        <v>-2.4666770252298043</v>
      </c>
      <c r="M19" s="86">
        <f t="shared" si="1"/>
        <v>1.6582415699999999</v>
      </c>
      <c r="AB19" s="90"/>
    </row>
    <row r="20" spans="1:28" x14ac:dyDescent="0.25">
      <c r="B20" s="82"/>
      <c r="C20" s="82"/>
      <c r="D20" s="82"/>
      <c r="E20" s="82"/>
      <c r="AB20" s="90"/>
    </row>
    <row r="21" spans="1:28" x14ac:dyDescent="0.25">
      <c r="B21" s="82"/>
      <c r="C21" s="82"/>
      <c r="D21" s="82"/>
      <c r="E21" s="82"/>
      <c r="AB21" s="90"/>
    </row>
    <row r="22" spans="1:28" x14ac:dyDescent="0.25">
      <c r="B22" s="82"/>
      <c r="C22" s="82"/>
      <c r="D22" s="82"/>
      <c r="E22" s="82"/>
      <c r="AB22" s="90"/>
    </row>
    <row r="23" spans="1:28" x14ac:dyDescent="0.25">
      <c r="B23" s="82"/>
      <c r="C23" s="82"/>
      <c r="D23" s="82"/>
      <c r="E23" s="82"/>
      <c r="AB23" s="90"/>
    </row>
    <row r="24" spans="1:28" x14ac:dyDescent="0.25">
      <c r="B24" s="82"/>
      <c r="C24" s="82"/>
      <c r="D24" s="82"/>
      <c r="E24" s="82"/>
      <c r="AB24" s="90"/>
    </row>
    <row r="25" spans="1:28" x14ac:dyDescent="0.25">
      <c r="B25" s="82"/>
      <c r="C25" s="82"/>
      <c r="D25" s="82"/>
      <c r="E25" s="82"/>
      <c r="AB25" s="90"/>
    </row>
    <row r="26" spans="1:28" x14ac:dyDescent="0.25">
      <c r="B26" s="82"/>
      <c r="C26" s="82"/>
      <c r="D26" s="82"/>
      <c r="E26" s="82"/>
      <c r="AB26" s="90"/>
    </row>
    <row r="27" spans="1:28" x14ac:dyDescent="0.25">
      <c r="B27" s="82"/>
      <c r="C27" s="82"/>
      <c r="D27" s="82"/>
      <c r="E27" s="82"/>
      <c r="AB27" s="90"/>
    </row>
    <row r="28" spans="1:28" x14ac:dyDescent="0.25">
      <c r="B28" s="82"/>
      <c r="C28" s="82"/>
      <c r="D28" s="82"/>
      <c r="E28" s="82"/>
      <c r="AB28" s="90"/>
    </row>
    <row r="29" spans="1:28" x14ac:dyDescent="0.25">
      <c r="B29" s="82"/>
      <c r="C29" s="82"/>
      <c r="D29" s="82"/>
      <c r="E29" s="82"/>
      <c r="AB29" s="90"/>
    </row>
    <row r="30" spans="1:28" x14ac:dyDescent="0.25">
      <c r="B30" s="82"/>
      <c r="C30" s="82"/>
      <c r="D30" s="82"/>
      <c r="E30" s="82"/>
      <c r="AB30" s="90"/>
    </row>
    <row r="31" spans="1:28" x14ac:dyDescent="0.25">
      <c r="B31" s="82"/>
      <c r="C31" s="82"/>
      <c r="D31" s="82"/>
      <c r="E31" s="82"/>
      <c r="AB31" s="90"/>
    </row>
    <row r="32" spans="1:28" x14ac:dyDescent="0.25">
      <c r="B32" s="82"/>
      <c r="C32" s="82"/>
      <c r="D32" s="82"/>
      <c r="E32" s="82"/>
      <c r="I32" s="82"/>
      <c r="J32" s="82"/>
      <c r="K32" s="82"/>
      <c r="L32" s="82"/>
      <c r="M32" s="82"/>
      <c r="N32" s="82"/>
      <c r="AB32" s="90"/>
    </row>
    <row r="33" spans="2:28" x14ac:dyDescent="0.25">
      <c r="B33" s="82"/>
      <c r="C33" s="82"/>
      <c r="D33" s="82"/>
      <c r="E33" s="82"/>
      <c r="I33" s="82"/>
      <c r="J33" s="82"/>
      <c r="K33" s="82"/>
      <c r="L33" s="82"/>
      <c r="M33" s="82"/>
      <c r="N33" s="82"/>
      <c r="AB33" s="90"/>
    </row>
    <row r="34" spans="2:28" x14ac:dyDescent="0.25">
      <c r="B34" s="82"/>
      <c r="C34" s="82"/>
      <c r="D34" s="82"/>
      <c r="E34" s="82"/>
      <c r="I34" s="82"/>
      <c r="J34" s="82"/>
      <c r="K34" s="82"/>
      <c r="L34" s="82"/>
      <c r="M34" s="82"/>
      <c r="N34" s="82"/>
      <c r="AB34" s="90"/>
    </row>
    <row r="35" spans="2:28" x14ac:dyDescent="0.25">
      <c r="B35" s="82"/>
      <c r="C35" s="82"/>
      <c r="D35" s="82"/>
      <c r="E35" s="82"/>
      <c r="I35" s="82"/>
      <c r="J35" s="82"/>
      <c r="K35" s="82"/>
      <c r="L35" s="82"/>
      <c r="M35" s="82"/>
      <c r="N35" s="82"/>
      <c r="AB35" s="90"/>
    </row>
    <row r="36" spans="2:28" x14ac:dyDescent="0.25">
      <c r="B36" s="82"/>
      <c r="C36" s="82"/>
      <c r="D36" s="82"/>
      <c r="E36" s="82"/>
      <c r="I36" s="82"/>
      <c r="J36" s="82"/>
      <c r="K36" s="82"/>
      <c r="L36" s="82"/>
      <c r="M36" s="82"/>
      <c r="N36" s="82"/>
      <c r="AB36" s="90"/>
    </row>
    <row r="37" spans="2:28" x14ac:dyDescent="0.25">
      <c r="B37" s="82"/>
      <c r="C37" s="82"/>
      <c r="D37" s="82"/>
      <c r="E37" s="82"/>
      <c r="I37" s="82"/>
      <c r="J37" s="82"/>
      <c r="K37" s="82"/>
      <c r="L37" s="82"/>
      <c r="M37" s="82"/>
      <c r="N37" s="82"/>
      <c r="AB37" s="90"/>
    </row>
    <row r="38" spans="2:28" x14ac:dyDescent="0.25">
      <c r="B38" s="82"/>
      <c r="C38" s="82"/>
      <c r="D38" s="82"/>
      <c r="E38" s="82"/>
      <c r="I38" s="82"/>
      <c r="J38" s="82"/>
      <c r="K38" s="82"/>
      <c r="L38" s="82"/>
      <c r="M38" s="82"/>
      <c r="N38" s="82"/>
      <c r="AB38" s="90"/>
    </row>
    <row r="39" spans="2:28" x14ac:dyDescent="0.25">
      <c r="B39" s="82"/>
      <c r="C39" s="82"/>
      <c r="D39" s="82"/>
      <c r="E39" s="82"/>
      <c r="I39" s="82"/>
      <c r="J39" s="82"/>
      <c r="K39" s="82"/>
      <c r="L39" s="82"/>
      <c r="M39" s="82"/>
      <c r="N39" s="82"/>
      <c r="AB39" s="90"/>
    </row>
    <row r="40" spans="2:28" x14ac:dyDescent="0.25">
      <c r="B40" s="82"/>
      <c r="C40" s="82"/>
      <c r="D40" s="82"/>
      <c r="E40" s="82"/>
      <c r="I40" s="82"/>
      <c r="J40" s="82"/>
      <c r="K40" s="82"/>
      <c r="L40" s="82"/>
      <c r="M40" s="82"/>
      <c r="N40" s="82"/>
      <c r="AB40" s="90"/>
    </row>
    <row r="41" spans="2:28" x14ac:dyDescent="0.25">
      <c r="AB41" s="90"/>
    </row>
    <row r="50" spans="6:18" x14ac:dyDescent="0.25">
      <c r="R50" s="93"/>
    </row>
    <row r="51" spans="6:18" x14ac:dyDescent="0.25">
      <c r="R51" s="93"/>
    </row>
    <row r="52" spans="6:18" x14ac:dyDescent="0.25">
      <c r="R52" s="93"/>
    </row>
    <row r="53" spans="6:18" x14ac:dyDescent="0.25">
      <c r="R53" s="93"/>
    </row>
    <row r="54" spans="6:18" x14ac:dyDescent="0.25">
      <c r="R54" s="93"/>
    </row>
    <row r="55" spans="6:18" x14ac:dyDescent="0.25">
      <c r="R55" s="93"/>
    </row>
    <row r="56" spans="6:18" x14ac:dyDescent="0.25">
      <c r="R56" s="93"/>
    </row>
    <row r="57" spans="6:18" x14ac:dyDescent="0.25">
      <c r="R57" s="93"/>
    </row>
    <row r="58" spans="6:18" x14ac:dyDescent="0.25">
      <c r="R58" s="93"/>
    </row>
    <row r="59" spans="6:18" x14ac:dyDescent="0.25">
      <c r="F59" s="92"/>
      <c r="R59" s="93"/>
    </row>
    <row r="60" spans="6:18" x14ac:dyDescent="0.25">
      <c r="F60" s="92"/>
      <c r="R60" s="93"/>
    </row>
    <row r="61" spans="6:18" x14ac:dyDescent="0.25">
      <c r="F61" s="92"/>
      <c r="R61" s="93"/>
    </row>
    <row r="62" spans="6:18" x14ac:dyDescent="0.25">
      <c r="F62" s="92"/>
      <c r="R62" s="93"/>
    </row>
    <row r="63" spans="6:18" x14ac:dyDescent="0.25">
      <c r="F63" s="92"/>
      <c r="R63" s="93"/>
    </row>
    <row r="64" spans="6:18" x14ac:dyDescent="0.25">
      <c r="F64" s="92"/>
      <c r="R64" s="93"/>
    </row>
    <row r="65" spans="6:18" x14ac:dyDescent="0.25">
      <c r="F65" s="92"/>
      <c r="R65" s="93"/>
    </row>
    <row r="66" spans="6:18" x14ac:dyDescent="0.25">
      <c r="F66" s="92"/>
      <c r="R66" s="93"/>
    </row>
    <row r="67" spans="6:18" x14ac:dyDescent="0.25">
      <c r="F67" s="92"/>
      <c r="R67" s="93"/>
    </row>
    <row r="68" spans="6:18" x14ac:dyDescent="0.25">
      <c r="F68" s="92"/>
      <c r="R68" s="93"/>
    </row>
    <row r="69" spans="6:18" x14ac:dyDescent="0.25">
      <c r="F69" s="92"/>
      <c r="R69" s="93"/>
    </row>
    <row r="70" spans="6:18" x14ac:dyDescent="0.25">
      <c r="R70" s="93"/>
    </row>
  </sheetData>
  <mergeCells count="2">
    <mergeCell ref="P2:AB2"/>
    <mergeCell ref="AD2:AP2"/>
  </mergeCells>
  <pageMargins left="0.7" right="0.7" top="0.75" bottom="0.75" header="0.3" footer="0.3"/>
  <pageSetup orientation="portrait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76EE3-C069-470D-A344-B22DDAB04366}">
  <dimension ref="B3:V3"/>
  <sheetViews>
    <sheetView topLeftCell="A2" workbookViewId="0">
      <selection activeCell="B3" sqref="B3:V3"/>
    </sheetView>
  </sheetViews>
  <sheetFormatPr defaultRowHeight="13.5" x14ac:dyDescent="0.25"/>
  <cols>
    <col min="1" max="16384" width="9.140625" style="1"/>
  </cols>
  <sheetData>
    <row r="3" spans="2:22" ht="15.75" x14ac:dyDescent="0.25">
      <c r="B3" s="12" t="s">
        <v>215</v>
      </c>
      <c r="C3" s="12"/>
      <c r="D3" s="12"/>
      <c r="E3" s="12"/>
      <c r="F3" s="12"/>
      <c r="G3" s="12"/>
      <c r="H3" s="12"/>
      <c r="I3" s="12"/>
      <c r="J3" s="12"/>
      <c r="K3" s="12"/>
      <c r="M3" s="12" t="s">
        <v>216</v>
      </c>
      <c r="N3" s="12"/>
      <c r="O3" s="12"/>
      <c r="P3" s="12"/>
      <c r="Q3" s="12"/>
      <c r="R3" s="12"/>
      <c r="S3" s="12"/>
      <c r="T3" s="12"/>
      <c r="U3" s="12"/>
      <c r="V3" s="12"/>
    </row>
  </sheetData>
  <mergeCells count="2">
    <mergeCell ref="B3:K3"/>
    <mergeCell ref="M3:V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5B476-0347-470A-8CDD-6A3BB31A5280}">
  <dimension ref="B2:U2"/>
  <sheetViews>
    <sheetView workbookViewId="0">
      <selection activeCell="B3" sqref="B3:V3"/>
    </sheetView>
  </sheetViews>
  <sheetFormatPr defaultRowHeight="13.5" x14ac:dyDescent="0.25"/>
  <cols>
    <col min="1" max="16384" width="9.140625" style="1"/>
  </cols>
  <sheetData>
    <row r="2" spans="2:21" ht="15.75" x14ac:dyDescent="0.25">
      <c r="B2" s="12" t="s">
        <v>217</v>
      </c>
      <c r="C2" s="12"/>
      <c r="D2" s="12"/>
      <c r="E2" s="12"/>
      <c r="F2" s="12"/>
      <c r="G2" s="12"/>
      <c r="H2" s="12"/>
      <c r="I2" s="12"/>
      <c r="J2" s="12"/>
      <c r="L2" s="12" t="s">
        <v>218</v>
      </c>
      <c r="M2" s="12"/>
      <c r="N2" s="12"/>
      <c r="O2" s="12"/>
      <c r="P2" s="12"/>
      <c r="Q2" s="12"/>
      <c r="R2" s="12"/>
      <c r="S2" s="12"/>
      <c r="T2" s="12"/>
      <c r="U2" s="12"/>
    </row>
  </sheetData>
  <mergeCells count="2">
    <mergeCell ref="B2:J2"/>
    <mergeCell ref="L2:U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65BD2-546D-4369-A724-D470FA8A3F24}">
  <dimension ref="A1"/>
  <sheetViews>
    <sheetView workbookViewId="0">
      <selection activeCell="J13" sqref="J13:M13"/>
    </sheetView>
  </sheetViews>
  <sheetFormatPr defaultRowHeight="13.5" x14ac:dyDescent="0.25"/>
  <cols>
    <col min="1" max="16384" width="9.140625" style="1"/>
  </cols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610FC-9F32-41CF-80CE-FF414AACEE59}">
  <dimension ref="A1"/>
  <sheetViews>
    <sheetView topLeftCell="A144" workbookViewId="0">
      <selection activeCell="J13" sqref="J13:M13"/>
    </sheetView>
  </sheetViews>
  <sheetFormatPr defaultRowHeight="13.5" x14ac:dyDescent="0.25"/>
  <cols>
    <col min="1" max="16384" width="9.140625" style="1"/>
  </cols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72CFA-76F4-41D2-82F8-5C57F771CB30}">
  <dimension ref="B2:T2"/>
  <sheetViews>
    <sheetView workbookViewId="0">
      <selection activeCell="J13" sqref="J13:M13"/>
    </sheetView>
  </sheetViews>
  <sheetFormatPr defaultRowHeight="13.5" x14ac:dyDescent="0.25"/>
  <cols>
    <col min="1" max="16384" width="9.140625" style="1"/>
  </cols>
  <sheetData>
    <row r="2" spans="2:20" ht="15.75" x14ac:dyDescent="0.25">
      <c r="B2" s="12" t="s">
        <v>137</v>
      </c>
      <c r="C2" s="12"/>
      <c r="D2" s="12"/>
      <c r="E2" s="12"/>
      <c r="F2" s="12"/>
      <c r="G2" s="12"/>
      <c r="H2" s="12"/>
      <c r="I2" s="12"/>
      <c r="J2" s="12"/>
      <c r="L2" s="12" t="s">
        <v>138</v>
      </c>
      <c r="M2" s="12"/>
      <c r="N2" s="12"/>
      <c r="O2" s="12"/>
      <c r="P2" s="12"/>
      <c r="Q2" s="12"/>
      <c r="R2" s="12"/>
      <c r="S2" s="12"/>
      <c r="T2" s="12"/>
    </row>
  </sheetData>
  <mergeCells count="2">
    <mergeCell ref="B2:J2"/>
    <mergeCell ref="L2:T2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FB52C-1603-4970-BD20-064990CD38EF}">
  <dimension ref="B2:W22"/>
  <sheetViews>
    <sheetView topLeftCell="A10" workbookViewId="0">
      <selection activeCell="J13" sqref="J13:M13"/>
    </sheetView>
  </sheetViews>
  <sheetFormatPr defaultRowHeight="13.5" x14ac:dyDescent="0.25"/>
  <cols>
    <col min="1" max="16384" width="9.140625" style="1"/>
  </cols>
  <sheetData>
    <row r="2" spans="2:20" ht="15.75" x14ac:dyDescent="0.25">
      <c r="B2" s="12" t="s">
        <v>139</v>
      </c>
      <c r="C2" s="12"/>
      <c r="D2" s="12"/>
      <c r="E2" s="12"/>
      <c r="F2" s="12"/>
      <c r="G2" s="12"/>
      <c r="H2" s="12"/>
      <c r="I2" s="12"/>
      <c r="K2" s="12" t="s">
        <v>140</v>
      </c>
      <c r="L2" s="12"/>
      <c r="M2" s="12"/>
      <c r="N2" s="12"/>
      <c r="O2" s="12"/>
      <c r="P2" s="12"/>
      <c r="Q2" s="12"/>
      <c r="R2" s="12"/>
      <c r="S2" s="12"/>
      <c r="T2" s="12"/>
    </row>
    <row r="22" spans="2:23" ht="15.75" x14ac:dyDescent="0.25">
      <c r="B22" s="12" t="s">
        <v>141</v>
      </c>
      <c r="C22" s="12"/>
      <c r="D22" s="12"/>
      <c r="E22" s="12"/>
      <c r="F22" s="12"/>
      <c r="G22" s="12"/>
      <c r="H22" s="12"/>
      <c r="I22" s="12"/>
      <c r="J22" s="12"/>
      <c r="K22" s="12"/>
      <c r="M22" s="12" t="s">
        <v>142</v>
      </c>
      <c r="N22" s="12"/>
      <c r="O22" s="12"/>
      <c r="P22" s="12"/>
      <c r="Q22" s="12"/>
      <c r="R22" s="12"/>
      <c r="S22" s="12"/>
      <c r="T22" s="12"/>
      <c r="U22" s="12"/>
      <c r="V22" s="12"/>
      <c r="W22" s="12"/>
    </row>
  </sheetData>
  <mergeCells count="4">
    <mergeCell ref="B2:I2"/>
    <mergeCell ref="K2:T2"/>
    <mergeCell ref="B22:K22"/>
    <mergeCell ref="M22:W22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548B1-A381-4C98-881C-4F2F32671592}">
  <dimension ref="B2:U2"/>
  <sheetViews>
    <sheetView tabSelected="1" workbookViewId="0">
      <selection activeCell="O27" sqref="O27"/>
    </sheetView>
  </sheetViews>
  <sheetFormatPr defaultRowHeight="13.5" x14ac:dyDescent="0.25"/>
  <cols>
    <col min="1" max="16384" width="9.140625" style="1"/>
  </cols>
  <sheetData>
    <row r="2" spans="2:21" ht="15.75" x14ac:dyDescent="0.25">
      <c r="B2" s="12" t="s">
        <v>143</v>
      </c>
      <c r="C2" s="12"/>
      <c r="D2" s="12"/>
      <c r="E2" s="12"/>
      <c r="F2" s="12"/>
      <c r="G2" s="12"/>
      <c r="H2" s="12"/>
      <c r="I2" s="12"/>
      <c r="J2" s="12"/>
      <c r="L2" s="12" t="s">
        <v>144</v>
      </c>
      <c r="M2" s="12"/>
      <c r="N2" s="12"/>
      <c r="O2" s="12"/>
      <c r="P2" s="12"/>
      <c r="Q2" s="12"/>
      <c r="R2" s="12"/>
      <c r="S2" s="12"/>
      <c r="T2" s="12"/>
      <c r="U2" s="12"/>
    </row>
  </sheetData>
  <mergeCells count="2">
    <mergeCell ref="B2:J2"/>
    <mergeCell ref="L2:U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Minichal Items</vt:lpstr>
      <vt:lpstr>Items Descriptives</vt:lpstr>
      <vt:lpstr>Correlation matrices</vt:lpstr>
      <vt:lpstr>CFA_IFA(WLSMV)_Fit_Indices</vt:lpstr>
      <vt:lpstr>Mod_CFA Param_est</vt:lpstr>
      <vt:lpstr>Mod_IFA_IRT(FIML)_Param_est</vt:lpstr>
      <vt:lpstr>Race_Measurement_Invariance</vt:lpstr>
      <vt:lpstr>Sex_Measurement_Invariance</vt:lpstr>
      <vt:lpstr>Discrim and Diff plots</vt:lpstr>
      <vt:lpstr>Test_Information</vt:lpstr>
      <vt:lpstr>Combined_Item_Information</vt:lpstr>
      <vt:lpstr>Individual_Item_Information</vt:lpstr>
      <vt:lpstr>Category_information</vt:lpstr>
      <vt:lpstr>Reliability plots</vt:lpstr>
      <vt:lpstr>CFA_Factor scores_distribution</vt:lpstr>
      <vt:lpstr>IFA_Factor scores_distribution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Omokhodion Eriakha</dc:creator>
  <cp:lastModifiedBy>Omokhodion Eriakha</cp:lastModifiedBy>
  <dcterms:created xsi:type="dcterms:W3CDTF">2024-07-16T15:21:11Z</dcterms:created>
  <dcterms:modified xsi:type="dcterms:W3CDTF">2024-07-16T15:28:38Z</dcterms:modified>
</cp:coreProperties>
</file>